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Matriz Equipo" sheetId="2" state="visible" r:id="rId2"/>
    <sheet xmlns:r="http://schemas.openxmlformats.org/officeDocument/2006/relationships" name="Cobertura" sheetId="3" state="visible" r:id="rId3"/>
    <sheet xmlns:r="http://schemas.openxmlformats.org/officeDocument/2006/relationships" name="Resumen por Integrante" sheetId="4" state="visible" r:id="rId4"/>
    <sheet xmlns:r="http://schemas.openxmlformats.org/officeDocument/2006/relationships" name="Defectos" sheetId="5" state="visible" r:id="rId5"/>
  </sheets>
  <definedNames>
    <definedName name="_xlnm._FilterDatabase" localSheetId="1" hidden="1">'Matriz Equipo'!$A$1:$Q$626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  <font>
      <name val="Arial"/>
      <b val="1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DED"/>
      </patternFill>
    </fill>
    <fill>
      <patternFill patternType="solid">
        <fgColor rgb="00E2EFDA"/>
      </patternFill>
    </fill>
    <fill>
      <patternFill patternType="solid">
        <fgColor rgb="00EDF4E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164" fontId="3" fillId="0" borderId="1" applyAlignment="1" pivotButton="0" quotePrefix="0" xfId="0">
      <alignment vertical="center" wrapText="1"/>
    </xf>
    <xf numFmtId="0" fontId="1" fillId="2" borderId="1" applyAlignment="1" pivotButton="0" quotePrefix="0" xfId="0">
      <alignment wrapText="1"/>
    </xf>
    <xf numFmtId="0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Matriz de trazabilidad — FuBanking (todo el equipo)</t>
        </is>
      </c>
      <c r="B1" t="inlineStr"/>
    </row>
    <row r="2">
      <c r="A2" s="2" t="inlineStr">
        <is>
          <t>Integrantes</t>
        </is>
      </c>
      <c r="B2" s="3" t="inlineStr">
        <is>
          <t>Tomás Henao (Usuarios/Auth + Retiro), Andrés Bedoya (Créditos), Stiven Alejandro Bustamante (Bolsillos + Depositar), Dubin Andres Soto (Tarjetas virtuales)</t>
        </is>
      </c>
    </row>
    <row r="3">
      <c r="A3" s="2" t="inlineStr">
        <is>
          <t>Fecha de corte</t>
        </is>
      </c>
      <c r="B3" s="3" t="inlineStr">
        <is>
          <t>2026-10-27</t>
        </is>
      </c>
    </row>
    <row r="4">
      <c r="A4" s="2" t="inlineStr">
        <is>
          <t>Estados</t>
        </is>
      </c>
      <c r="B4" s="3" t="inlineStr">
        <is>
          <t>Aprobado / Fallido: ejecutado hoy o con evidencia de ejecución en el repo. "Aprobado (reportado)": resultado que documentó el responsable (no re-ejecutado hoy). "No ejecutado": artefacto que existe solo en upstream/dev o depende de él. "Sin resultado registrado": caso diseñado sin estado en el Excel ni evidencia.</t>
        </is>
      </c>
    </row>
    <row r="5">
      <c r="A5" s="2" t="inlineStr">
        <is>
          <t>Fuentes</t>
        </is>
      </c>
      <c r="B5" s="3" t="inlineStr">
        <is>
          <t>Casos y Escenarios FuBank.xlsx; Serenity/JS (corrida completa de hoy); Cypress de Bolsillos y de Créditos (hoy); Vitest backend y frontend (hoy); Newman, Keploy y Stagehand de Bolsillos (hoy); evidencias de Andrés (Stagehand 24/10, herramientas-bedoya); suites de Katalon; Cypress de Tomás en upstream/dev.</t>
        </is>
      </c>
    </row>
    <row r="6">
      <c r="A6" s="2" t="inlineStr">
        <is>
          <t>Cobertura</t>
        </is>
      </c>
      <c r="B6" s="3" t="inlineStr">
        <is>
          <t>Hojas Cobertura y Resumen por Integrante con COUNTIFS sobre la matriz: si cambia un estado, se recalculan.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26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10" customWidth="1" min="3" max="3"/>
    <col width="24" customWidth="1" min="4" max="4"/>
    <col width="22" customWidth="1" min="5" max="5"/>
    <col width="16" customWidth="1" min="6" max="6"/>
    <col width="38" customWidth="1" min="7" max="7"/>
    <col width="16" customWidth="1" min="8" max="8"/>
    <col width="13" customWidth="1" min="9" max="9"/>
    <col width="24" customWidth="1" min="10" max="10"/>
    <col width="30" customWidth="1" min="11" max="11"/>
    <col width="40" customWidth="1" min="12" max="12"/>
    <col width="36" customWidth="1" min="13" max="13"/>
    <col width="13" customWidth="1" min="14" max="14"/>
    <col width="10" customWidth="1" min="15" max="15"/>
    <col width="30" customWidth="1" min="16" max="16"/>
    <col width="14" customWidth="1" min="17" max="17"/>
  </cols>
  <sheetData>
    <row r="1">
      <c r="A1" s="4" t="inlineStr">
        <is>
          <t>Integrante</t>
        </is>
      </c>
      <c r="B1" s="4" t="inlineStr">
        <is>
          <t>Módulo</t>
        </is>
      </c>
      <c r="C1" s="4" t="inlineStr">
        <is>
          <t>ID Requisito</t>
        </is>
      </c>
      <c r="D1" s="4" t="inlineStr">
        <is>
          <t>Requisito</t>
        </is>
      </c>
      <c r="E1" s="4" t="inlineStr">
        <is>
          <t>Escenario / Agrupación</t>
        </is>
      </c>
      <c r="F1" s="4" t="inlineStr">
        <is>
          <t>ID Caso</t>
        </is>
      </c>
      <c r="G1" s="4" t="inlineStr">
        <is>
          <t>Caso de prueba</t>
        </is>
      </c>
      <c r="H1" s="4" t="inlineStr">
        <is>
          <t>Nivel</t>
        </is>
      </c>
      <c r="I1" s="4" t="inlineStr">
        <is>
          <t>Tipo</t>
        </is>
      </c>
      <c r="J1" s="4" t="inlineStr">
        <is>
          <t>Herramienta / Suite</t>
        </is>
      </c>
      <c r="K1" s="4" t="inlineStr">
        <is>
          <t>Ubicación</t>
        </is>
      </c>
      <c r="L1" s="4" t="inlineStr">
        <is>
          <t>Resultado esperado</t>
        </is>
      </c>
      <c r="M1" s="4" t="inlineStr">
        <is>
          <t>Resultado obtenido</t>
        </is>
      </c>
      <c r="N1" s="4" t="inlineStr">
        <is>
          <t>Estado</t>
        </is>
      </c>
      <c r="O1" s="4" t="inlineStr">
        <is>
          <t>Fecha</t>
        </is>
      </c>
      <c r="P1" s="4" t="inlineStr">
        <is>
          <t>Evidencia</t>
        </is>
      </c>
      <c r="Q1" s="4" t="inlineStr">
        <is>
          <t>ID Defecto</t>
        </is>
      </c>
    </row>
    <row r="2">
      <c r="A2" s="5" t="inlineStr">
        <is>
          <t>Tomás Henao</t>
        </is>
      </c>
      <c r="B2" s="5" t="inlineStr">
        <is>
          <t>Usuarios</t>
        </is>
      </c>
      <c r="C2" s="5" t="inlineStr">
        <is>
          <t>RF-01</t>
        </is>
      </c>
      <c r="D2" s="5" t="inlineStr">
        <is>
          <t>Registro de usuario</t>
        </is>
      </c>
      <c r="E2" s="5" t="inlineStr">
        <is>
          <t>ESC061</t>
        </is>
      </c>
      <c r="F2" s="5" t="inlineStr">
        <is>
          <t>TC201</t>
        </is>
      </c>
      <c r="G2" s="5" t="inlineStr">
        <is>
          <t>Datos personales y credenciales válidas</t>
        </is>
      </c>
      <c r="H2" s="5" t="inlineStr">
        <is>
          <t>Sistema</t>
        </is>
      </c>
      <c r="I2" s="5" t="inlineStr">
        <is>
          <t>Funcional</t>
        </is>
      </c>
      <c r="J2" s="5" t="inlineStr">
        <is>
          <t>Casos del Excel (diseño + ejecución manual)</t>
        </is>
      </c>
      <c r="K2" s="5" t="inlineStr">
        <is>
          <t>Casos y Escenarios FuBank.xlsx</t>
        </is>
      </c>
      <c r="L2" s="5" t="inlineStr">
        <is>
          <t>Usuario ingresa nombre, correo no registrado y contraseña que cumple las políticas de seguridad</t>
        </is>
      </c>
      <c r="M2" s="5" t="inlineStr">
        <is>
          <t>Sin resultado en el Excel</t>
        </is>
      </c>
      <c r="N2" s="6" t="inlineStr">
        <is>
          <t>Sin resultado registrado</t>
        </is>
      </c>
      <c r="O2" s="5" t="inlineStr">
        <is>
          <t>-</t>
        </is>
      </c>
      <c r="P2" s="5" t="inlineStr">
        <is>
          <t>Excel (hoja Casos de Prueba Detallado)</t>
        </is>
      </c>
      <c r="Q2" s="5" t="inlineStr">
        <is>
          <t>N/A</t>
        </is>
      </c>
    </row>
    <row r="3">
      <c r="A3" s="5" t="inlineStr">
        <is>
          <t>Tomás Henao</t>
        </is>
      </c>
      <c r="B3" s="5" t="inlineStr">
        <is>
          <t>Usuarios</t>
        </is>
      </c>
      <c r="C3" s="5" t="inlineStr">
        <is>
          <t>RF-01</t>
        </is>
      </c>
      <c r="D3" s="5" t="inlineStr">
        <is>
          <t>Registro de usuario</t>
        </is>
      </c>
      <c r="E3" s="5" t="inlineStr">
        <is>
          <t>ESC061</t>
        </is>
      </c>
      <c r="F3" s="5" t="inlineStr">
        <is>
          <t>TC202</t>
        </is>
      </c>
      <c r="G3" s="5" t="inlineStr">
        <is>
          <t>Correo electrónico existente</t>
        </is>
      </c>
      <c r="H3" s="5" t="inlineStr">
        <is>
          <t>Sistema</t>
        </is>
      </c>
      <c r="I3" s="5" t="inlineStr">
        <is>
          <t>Funcional</t>
        </is>
      </c>
      <c r="J3" s="5" t="inlineStr">
        <is>
          <t>Casos del Excel (diseño + ejecución manual)</t>
        </is>
      </c>
      <c r="K3" s="5" t="inlineStr">
        <is>
          <t>Casos y Escenarios FuBank.xlsx</t>
        </is>
      </c>
      <c r="L3" s="5" t="inlineStr">
        <is>
          <t>Usuario intenta registrarse utilizando un correo que ya está registrado en la plataforma</t>
        </is>
      </c>
      <c r="M3" s="5" t="inlineStr">
        <is>
          <t>Sin resultado en el Excel</t>
        </is>
      </c>
      <c r="N3" s="6" t="inlineStr">
        <is>
          <t>Sin resultado registrado</t>
        </is>
      </c>
      <c r="O3" s="5" t="inlineStr">
        <is>
          <t>-</t>
        </is>
      </c>
      <c r="P3" s="5" t="inlineStr">
        <is>
          <t>Excel (hoja Casos de Prueba Detallado)</t>
        </is>
      </c>
      <c r="Q3" s="5" t="inlineStr">
        <is>
          <t>N/A</t>
        </is>
      </c>
    </row>
    <row r="4">
      <c r="A4" s="5" t="inlineStr">
        <is>
          <t>Tomás Henao</t>
        </is>
      </c>
      <c r="B4" s="5" t="inlineStr">
        <is>
          <t>Usuarios</t>
        </is>
      </c>
      <c r="C4" s="5" t="inlineStr">
        <is>
          <t>RF-01</t>
        </is>
      </c>
      <c r="D4" s="5" t="inlineStr">
        <is>
          <t>Registro de usuario</t>
        </is>
      </c>
      <c r="E4" s="5" t="inlineStr">
        <is>
          <t>ESC061</t>
        </is>
      </c>
      <c r="F4" s="5" t="inlineStr">
        <is>
          <t>TC203</t>
        </is>
      </c>
      <c r="G4" s="5" t="inlineStr">
        <is>
          <t>Correo electrónico existente</t>
        </is>
      </c>
      <c r="H4" s="5" t="inlineStr">
        <is>
          <t>Sistema</t>
        </is>
      </c>
      <c r="I4" s="5" t="inlineStr">
        <is>
          <t>Funcional</t>
        </is>
      </c>
      <c r="J4" s="5" t="inlineStr">
        <is>
          <t>Casos del Excel (diseño + ejecución manual)</t>
        </is>
      </c>
      <c r="K4" s="5" t="inlineStr">
        <is>
          <t>Casos y Escenarios FuBank.xlsx</t>
        </is>
      </c>
      <c r="L4" s="5" t="inlineStr">
        <is>
          <t>Usuario intenta crear una cuenta con datos diferentes pero usando un correo existente</t>
        </is>
      </c>
      <c r="M4" s="5" t="inlineStr">
        <is>
          <t>Sin resultado en el Excel</t>
        </is>
      </c>
      <c r="N4" s="6" t="inlineStr">
        <is>
          <t>Sin resultado registrado</t>
        </is>
      </c>
      <c r="O4" s="5" t="inlineStr">
        <is>
          <t>-</t>
        </is>
      </c>
      <c r="P4" s="5" t="inlineStr">
        <is>
          <t>Excel (hoja Casos de Prueba Detallado)</t>
        </is>
      </c>
      <c r="Q4" s="5" t="inlineStr">
        <is>
          <t>N/A</t>
        </is>
      </c>
    </row>
    <row r="5">
      <c r="A5" s="5" t="inlineStr">
        <is>
          <t>Tomás Henao</t>
        </is>
      </c>
      <c r="B5" s="5" t="inlineStr">
        <is>
          <t>Usuarios</t>
        </is>
      </c>
      <c r="C5" s="5" t="inlineStr">
        <is>
          <t>RF-01</t>
        </is>
      </c>
      <c r="D5" s="5" t="inlineStr">
        <is>
          <t>Registro de usuario</t>
        </is>
      </c>
      <c r="E5" s="5" t="inlineStr">
        <is>
          <t>ESC061</t>
        </is>
      </c>
      <c r="F5" s="5" t="inlineStr">
        <is>
          <t>TC204</t>
        </is>
      </c>
      <c r="G5" s="5" t="inlineStr">
        <is>
          <t>Contraseña menor al mínimo requerido</t>
        </is>
      </c>
      <c r="H5" s="5" t="inlineStr">
        <is>
          <t>Sistema</t>
        </is>
      </c>
      <c r="I5" s="5" t="inlineStr">
        <is>
          <t>Funcional</t>
        </is>
      </c>
      <c r="J5" s="5" t="inlineStr">
        <is>
          <t>Casos del Excel (diseño + ejecución manual)</t>
        </is>
      </c>
      <c r="K5" s="5" t="inlineStr">
        <is>
          <t>Casos y Escenarios FuBank.xlsx</t>
        </is>
      </c>
      <c r="L5" s="5" t="inlineStr">
        <is>
          <t>Usuario ingresa una contraseña que no cumple la cantidad mínima de caracteres definida</t>
        </is>
      </c>
      <c r="M5" s="5" t="inlineStr">
        <is>
          <t>Sin resultado en el Excel</t>
        </is>
      </c>
      <c r="N5" s="6" t="inlineStr">
        <is>
          <t>Sin resultado registrado</t>
        </is>
      </c>
      <c r="O5" s="5" t="inlineStr">
        <is>
          <t>-</t>
        </is>
      </c>
      <c r="P5" s="5" t="inlineStr">
        <is>
          <t>Excel (hoja Casos de Prueba Detallado)</t>
        </is>
      </c>
      <c r="Q5" s="5" t="inlineStr">
        <is>
          <t>N/A</t>
        </is>
      </c>
    </row>
    <row r="6">
      <c r="A6" s="5" t="inlineStr">
        <is>
          <t>Tomás Henao</t>
        </is>
      </c>
      <c r="B6" s="5" t="inlineStr">
        <is>
          <t>Usuarios</t>
        </is>
      </c>
      <c r="C6" s="5" t="inlineStr">
        <is>
          <t>RF-01</t>
        </is>
      </c>
      <c r="D6" s="5" t="inlineStr">
        <is>
          <t>Registro de usuario</t>
        </is>
      </c>
      <c r="E6" s="5" t="inlineStr">
        <is>
          <t>ESC061</t>
        </is>
      </c>
      <c r="F6" s="5" t="inlineStr">
        <is>
          <t>TC205</t>
        </is>
      </c>
      <c r="G6" s="5" t="inlineStr">
        <is>
          <t>Contraseña sin requisitos de seguridad</t>
        </is>
      </c>
      <c r="H6" s="5" t="inlineStr">
        <is>
          <t>Sistema</t>
        </is>
      </c>
      <c r="I6" s="5" t="inlineStr">
        <is>
          <t>Funcional</t>
        </is>
      </c>
      <c r="J6" s="5" t="inlineStr">
        <is>
          <t>Casos del Excel (diseño + ejecución manual)</t>
        </is>
      </c>
      <c r="K6" s="5" t="inlineStr">
        <is>
          <t>Casos y Escenarios FuBank.xlsx</t>
        </is>
      </c>
      <c r="L6" s="5" t="inlineStr">
        <is>
          <t>Usuario ingresa una contraseña sin mayúsculas, números o caracteres especiales requeridos</t>
        </is>
      </c>
      <c r="M6" s="5" t="inlineStr">
        <is>
          <t>Sin resultado en el Excel</t>
        </is>
      </c>
      <c r="N6" s="6" t="inlineStr">
        <is>
          <t>Sin resultado registrado</t>
        </is>
      </c>
      <c r="O6" s="5" t="inlineStr">
        <is>
          <t>-</t>
        </is>
      </c>
      <c r="P6" s="5" t="inlineStr">
        <is>
          <t>Excel (hoja Casos de Prueba Detallado)</t>
        </is>
      </c>
      <c r="Q6" s="5" t="inlineStr">
        <is>
          <t>N/A</t>
        </is>
      </c>
    </row>
    <row r="7">
      <c r="A7" s="5" t="inlineStr">
        <is>
          <t>Tomás Henao</t>
        </is>
      </c>
      <c r="B7" s="5" t="inlineStr">
        <is>
          <t>Usuarios</t>
        </is>
      </c>
      <c r="C7" s="5" t="inlineStr">
        <is>
          <t>RF-01</t>
        </is>
      </c>
      <c r="D7" s="5" t="inlineStr">
        <is>
          <t>Registro de usuario</t>
        </is>
      </c>
      <c r="E7" s="5" t="inlineStr">
        <is>
          <t>ESC061</t>
        </is>
      </c>
      <c r="F7" s="5" t="inlineStr">
        <is>
          <t>TC206</t>
        </is>
      </c>
      <c r="G7" s="5" t="inlineStr">
        <is>
          <t>Campos obligatorios vacíos</t>
        </is>
      </c>
      <c r="H7" s="5" t="inlineStr">
        <is>
          <t>Sistema</t>
        </is>
      </c>
      <c r="I7" s="5" t="inlineStr">
        <is>
          <t>Funcional</t>
        </is>
      </c>
      <c r="J7" s="5" t="inlineStr">
        <is>
          <t>Casos del Excel (diseño + ejecución manual)</t>
        </is>
      </c>
      <c r="K7" s="5" t="inlineStr">
        <is>
          <t>Casos y Escenarios FuBank.xlsx</t>
        </is>
      </c>
      <c r="L7" s="5" t="inlineStr">
        <is>
          <t>Usuario intenta registrarse sin completar uno o varios campos requeridos</t>
        </is>
      </c>
      <c r="M7" s="5" t="inlineStr">
        <is>
          <t>Sin resultado en el Excel</t>
        </is>
      </c>
      <c r="N7" s="6" t="inlineStr">
        <is>
          <t>Sin resultado registrado</t>
        </is>
      </c>
      <c r="O7" s="5" t="inlineStr">
        <is>
          <t>-</t>
        </is>
      </c>
      <c r="P7" s="5" t="inlineStr">
        <is>
          <t>Excel (hoja Casos de Prueba Detallado)</t>
        </is>
      </c>
      <c r="Q7" s="5" t="inlineStr">
        <is>
          <t>N/A</t>
        </is>
      </c>
    </row>
    <row r="8">
      <c r="A8" s="5" t="inlineStr">
        <is>
          <t>Tomás Henao</t>
        </is>
      </c>
      <c r="B8" s="5" t="inlineStr">
        <is>
          <t>Usuarios</t>
        </is>
      </c>
      <c r="C8" s="5" t="inlineStr">
        <is>
          <t>RF-01</t>
        </is>
      </c>
      <c r="D8" s="5" t="inlineStr">
        <is>
          <t>Registro de usuario</t>
        </is>
      </c>
      <c r="E8" s="5" t="inlineStr">
        <is>
          <t>ESC061</t>
        </is>
      </c>
      <c r="F8" s="5" t="inlineStr">
        <is>
          <t>TC207</t>
        </is>
      </c>
      <c r="G8" s="5" t="inlineStr">
        <is>
          <t>Correo electrónico con formato incorrecto</t>
        </is>
      </c>
      <c r="H8" s="5" t="inlineStr">
        <is>
          <t>Sistema</t>
        </is>
      </c>
      <c r="I8" s="5" t="inlineStr">
        <is>
          <t>Funcional</t>
        </is>
      </c>
      <c r="J8" s="5" t="inlineStr">
        <is>
          <t>Casos del Excel (diseño + ejecución manual)</t>
        </is>
      </c>
      <c r="K8" s="5" t="inlineStr">
        <is>
          <t>Casos y Escenarios FuBank.xlsx</t>
        </is>
      </c>
      <c r="L8" s="5" t="inlineStr">
        <is>
          <t>Usuario ingresa un correo sin formato válido (ejemplo: usuario@)</t>
        </is>
      </c>
      <c r="M8" s="5" t="inlineStr">
        <is>
          <t>Sin resultado en el Excel</t>
        </is>
      </c>
      <c r="N8" s="6" t="inlineStr">
        <is>
          <t>Sin resultado registrado</t>
        </is>
      </c>
      <c r="O8" s="5" t="inlineStr">
        <is>
          <t>-</t>
        </is>
      </c>
      <c r="P8" s="5" t="inlineStr">
        <is>
          <t>Excel (hoja Casos de Prueba Detallado)</t>
        </is>
      </c>
      <c r="Q8" s="5" t="inlineStr">
        <is>
          <t>N/A</t>
        </is>
      </c>
    </row>
    <row r="9">
      <c r="A9" s="5" t="inlineStr">
        <is>
          <t>Tomás Henao</t>
        </is>
      </c>
      <c r="B9" s="5" t="inlineStr">
        <is>
          <t>Usuarios</t>
        </is>
      </c>
      <c r="C9" s="5" t="inlineStr">
        <is>
          <t>RF-01</t>
        </is>
      </c>
      <c r="D9" s="5" t="inlineStr">
        <is>
          <t>Registro de usuario</t>
        </is>
      </c>
      <c r="E9" s="5" t="inlineStr">
        <is>
          <t>ESC061</t>
        </is>
      </c>
      <c r="F9" s="5" t="inlineStr">
        <is>
          <t>TC208</t>
        </is>
      </c>
      <c r="G9" s="5" t="inlineStr">
        <is>
          <t>Caracteres inválidos en datos personales</t>
        </is>
      </c>
      <c r="H9" s="5" t="inlineStr">
        <is>
          <t>Sistema</t>
        </is>
      </c>
      <c r="I9" s="5" t="inlineStr">
        <is>
          <t>Funcional</t>
        </is>
      </c>
      <c r="J9" s="5" t="inlineStr">
        <is>
          <t>Casos del Excel (diseño + ejecución manual)</t>
        </is>
      </c>
      <c r="K9" s="5" t="inlineStr">
        <is>
          <t>Casos y Escenarios FuBank.xlsx</t>
        </is>
      </c>
      <c r="L9" s="5" t="inlineStr">
        <is>
          <t>Usuario ingresa caracteres no permitidos en los campos personales</t>
        </is>
      </c>
      <c r="M9" s="5" t="inlineStr">
        <is>
          <t>Sin resultado en el Excel</t>
        </is>
      </c>
      <c r="N9" s="6" t="inlineStr">
        <is>
          <t>Sin resultado registrado</t>
        </is>
      </c>
      <c r="O9" s="5" t="inlineStr">
        <is>
          <t>-</t>
        </is>
      </c>
      <c r="P9" s="5" t="inlineStr">
        <is>
          <t>Excel (hoja Casos de Prueba Detallado)</t>
        </is>
      </c>
      <c r="Q9" s="5" t="inlineStr">
        <is>
          <t>N/A</t>
        </is>
      </c>
    </row>
    <row r="10">
      <c r="A10" s="5" t="inlineStr">
        <is>
          <t>Tomás Henao</t>
        </is>
      </c>
      <c r="B10" s="5" t="inlineStr">
        <is>
          <t>Usuarios</t>
        </is>
      </c>
      <c r="C10" s="5" t="inlineStr">
        <is>
          <t>RF-01</t>
        </is>
      </c>
      <c r="D10" s="5" t="inlineStr">
        <is>
          <t>Registro de usuario</t>
        </is>
      </c>
      <c r="E10" s="5" t="inlineStr">
        <is>
          <t>ESC062</t>
        </is>
      </c>
      <c r="F10" s="5" t="inlineStr">
        <is>
          <t>TC209</t>
        </is>
      </c>
      <c r="G10" s="5" t="inlineStr">
        <is>
          <t>Contraseña con longitud menor a la requerida</t>
        </is>
      </c>
      <c r="H10" s="5" t="inlineStr">
        <is>
          <t>Sistema</t>
        </is>
      </c>
      <c r="I10" s="5" t="inlineStr">
        <is>
          <t>Funcional</t>
        </is>
      </c>
      <c r="J10" s="5" t="inlineStr">
        <is>
          <t>Casos del Excel (diseño + ejecución manual)</t>
        </is>
      </c>
      <c r="K10" s="5" t="inlineStr">
        <is>
          <t>Casos y Escenarios FuBank.xlsx</t>
        </is>
      </c>
      <c r="L10" s="5" t="inlineStr">
        <is>
          <t>El usuario ingresa una contraseña con menos caracteres que los establecidos.</t>
        </is>
      </c>
      <c r="M10" s="5" t="inlineStr">
        <is>
          <t>Sin resultado en el Excel</t>
        </is>
      </c>
      <c r="N10" s="6" t="inlineStr">
        <is>
          <t>Sin resultado registrado</t>
        </is>
      </c>
      <c r="O10" s="5" t="inlineStr">
        <is>
          <t>-</t>
        </is>
      </c>
      <c r="P10" s="5" t="inlineStr">
        <is>
          <t>Excel (hoja Casos de Prueba Detallado)</t>
        </is>
      </c>
      <c r="Q10" s="5" t="inlineStr">
        <is>
          <t>N/A</t>
        </is>
      </c>
    </row>
    <row r="11">
      <c r="A11" s="5" t="inlineStr">
        <is>
          <t>Tomás Henao</t>
        </is>
      </c>
      <c r="B11" s="5" t="inlineStr">
        <is>
          <t>Usuarios</t>
        </is>
      </c>
      <c r="C11" s="5" t="inlineStr">
        <is>
          <t>RF-01</t>
        </is>
      </c>
      <c r="D11" s="5" t="inlineStr">
        <is>
          <t>Registro de usuario</t>
        </is>
      </c>
      <c r="E11" s="5" t="inlineStr">
        <is>
          <t>ESC062</t>
        </is>
      </c>
      <c r="F11" s="5" t="inlineStr">
        <is>
          <t>TC210</t>
        </is>
      </c>
      <c r="G11" s="5" t="inlineStr">
        <is>
          <t>Contraseña sin combinación de caracteres requerida</t>
        </is>
      </c>
      <c r="H11" s="5" t="inlineStr">
        <is>
          <t>Sistema</t>
        </is>
      </c>
      <c r="I11" s="5" t="inlineStr">
        <is>
          <t>Funcional</t>
        </is>
      </c>
      <c r="J11" s="5" t="inlineStr">
        <is>
          <t>Casos del Excel (diseño + ejecución manual)</t>
        </is>
      </c>
      <c r="K11" s="5" t="inlineStr">
        <is>
          <t>Casos y Escenarios FuBank.xlsx</t>
        </is>
      </c>
      <c r="L11" s="5" t="inlineStr">
        <is>
          <t>El usuario ingresa una contraseña que no contiene los elementos obligatorios (mayúsculas,  números , caracteres especiales)</t>
        </is>
      </c>
      <c r="M11" s="5" t="inlineStr">
        <is>
          <t>Sin resultado en el Excel</t>
        </is>
      </c>
      <c r="N11" s="6" t="inlineStr">
        <is>
          <t>Sin resultado registrado</t>
        </is>
      </c>
      <c r="O11" s="5" t="inlineStr">
        <is>
          <t>-</t>
        </is>
      </c>
      <c r="P11" s="5" t="inlineStr">
        <is>
          <t>Excel (hoja Casos de Prueba Detallado)</t>
        </is>
      </c>
      <c r="Q11" s="5" t="inlineStr">
        <is>
          <t>N/A</t>
        </is>
      </c>
    </row>
    <row r="12">
      <c r="A12" s="5" t="inlineStr">
        <is>
          <t>Tomás Henao</t>
        </is>
      </c>
      <c r="B12" s="5" t="inlineStr">
        <is>
          <t>Usuarios</t>
        </is>
      </c>
      <c r="C12" s="5" t="inlineStr">
        <is>
          <t>RF-01</t>
        </is>
      </c>
      <c r="D12" s="5" t="inlineStr">
        <is>
          <t>Registro de usuario</t>
        </is>
      </c>
      <c r="E12" s="5" t="inlineStr">
        <is>
          <t>ESC062</t>
        </is>
      </c>
      <c r="F12" s="5" t="inlineStr">
        <is>
          <t>TC211</t>
        </is>
      </c>
      <c r="G12" s="5" t="inlineStr">
        <is>
          <t>Contraseña considerada débil</t>
        </is>
      </c>
      <c r="H12" s="5" t="inlineStr">
        <is>
          <t>Sistema</t>
        </is>
      </c>
      <c r="I12" s="5" t="inlineStr">
        <is>
          <t>Funcional</t>
        </is>
      </c>
      <c r="J12" s="5" t="inlineStr">
        <is>
          <t>Casos del Excel (diseño + ejecución manual)</t>
        </is>
      </c>
      <c r="K12" s="5" t="inlineStr">
        <is>
          <t>Casos y Escenarios FuBank.xlsx</t>
        </is>
      </c>
      <c r="L12" s="5" t="inlineStr">
        <is>
          <t>El usuario intenta registrarse utilizando una contraseña común o fácil de adivinar y el sistema la rechaza</t>
        </is>
      </c>
      <c r="M12" s="5" t="inlineStr">
        <is>
          <t>Sin resultado en el Excel</t>
        </is>
      </c>
      <c r="N12" s="6" t="inlineStr">
        <is>
          <t>Sin resultado registrado</t>
        </is>
      </c>
      <c r="O12" s="5" t="inlineStr">
        <is>
          <t>-</t>
        </is>
      </c>
      <c r="P12" s="5" t="inlineStr">
        <is>
          <t>Excel (hoja Casos de Prueba Detallado)</t>
        </is>
      </c>
      <c r="Q12" s="5" t="inlineStr">
        <is>
          <t>N/A</t>
        </is>
      </c>
    </row>
    <row r="13">
      <c r="A13" s="5" t="inlineStr">
        <is>
          <t>Tomás Henao</t>
        </is>
      </c>
      <c r="B13" s="5" t="inlineStr">
        <is>
          <t>Usuarios</t>
        </is>
      </c>
      <c r="C13" s="5" t="inlineStr">
        <is>
          <t>RF-01</t>
        </is>
      </c>
      <c r="D13" s="5" t="inlineStr">
        <is>
          <t>Registro de usuario</t>
        </is>
      </c>
      <c r="E13" s="5" t="inlineStr">
        <is>
          <t>ESC062</t>
        </is>
      </c>
      <c r="F13" s="5" t="inlineStr">
        <is>
          <t>TC212</t>
        </is>
      </c>
      <c r="G13" s="5" t="inlineStr">
        <is>
          <t>Mostrar requisitos de contraseña válida</t>
        </is>
      </c>
      <c r="H13" s="5" t="inlineStr">
        <is>
          <t>Sistema</t>
        </is>
      </c>
      <c r="I13" s="5" t="inlineStr">
        <is>
          <t>Funcional</t>
        </is>
      </c>
      <c r="J13" s="5" t="inlineStr">
        <is>
          <t>Casos del Excel (diseño + ejecución manual)</t>
        </is>
      </c>
      <c r="K13" s="5" t="inlineStr">
        <is>
          <t>Casos y Escenarios FuBank.xlsx</t>
        </is>
      </c>
      <c r="L13" s="5" t="inlineStr">
        <is>
          <t>El sistema muestra un mensaje indicando las condiciones que debe cumplir la contraseña cuando el usuario ingresa una clave insegura</t>
        </is>
      </c>
      <c r="M13" s="5" t="inlineStr">
        <is>
          <t>Sin resultado en el Excel</t>
        </is>
      </c>
      <c r="N13" s="6" t="inlineStr">
        <is>
          <t>Sin resultado registrado</t>
        </is>
      </c>
      <c r="O13" s="5" t="inlineStr">
        <is>
          <t>-</t>
        </is>
      </c>
      <c r="P13" s="5" t="inlineStr">
        <is>
          <t>Excel (hoja Casos de Prueba Detallado)</t>
        </is>
      </c>
      <c r="Q13" s="5" t="inlineStr">
        <is>
          <t>N/A</t>
        </is>
      </c>
    </row>
    <row r="14">
      <c r="A14" s="5" t="inlineStr">
        <is>
          <t>Tomás Henao</t>
        </is>
      </c>
      <c r="B14" s="5" t="inlineStr">
        <is>
          <t>Usuarios</t>
        </is>
      </c>
      <c r="C14" s="5" t="inlineStr">
        <is>
          <t>RF-01</t>
        </is>
      </c>
      <c r="D14" s="5" t="inlineStr">
        <is>
          <t>Registro de usuario</t>
        </is>
      </c>
      <c r="E14" s="5" t="inlineStr">
        <is>
          <t>ESC062</t>
        </is>
      </c>
      <c r="F14" s="5" t="inlineStr">
        <is>
          <t>TC213</t>
        </is>
      </c>
      <c r="G14" s="5" t="inlineStr">
        <is>
          <t>Impedir creación de cuenta con contraseña inválida</t>
        </is>
      </c>
      <c r="H14" s="5" t="inlineStr">
        <is>
          <t>Sistema</t>
        </is>
      </c>
      <c r="I14" s="5" t="inlineStr">
        <is>
          <t>Funcional</t>
        </is>
      </c>
      <c r="J14" s="5" t="inlineStr">
        <is>
          <t>Casos del Excel (diseño + ejecución manual)</t>
        </is>
      </c>
      <c r="K14" s="5" t="inlineStr">
        <is>
          <t>Casos y Escenarios FuBank.xlsx</t>
        </is>
      </c>
      <c r="L14" s="5" t="inlineStr">
        <is>
          <t>El usuario intenta completar el registro con una contraseña insegura y el sistema no permite crear la cuenta</t>
        </is>
      </c>
      <c r="M14" s="5" t="inlineStr">
        <is>
          <t>Sin resultado en el Excel</t>
        </is>
      </c>
      <c r="N14" s="6" t="inlineStr">
        <is>
          <t>Sin resultado registrado</t>
        </is>
      </c>
      <c r="O14" s="5" t="inlineStr">
        <is>
          <t>-</t>
        </is>
      </c>
      <c r="P14" s="5" t="inlineStr">
        <is>
          <t>Excel (hoja Casos de Prueba Detallado)</t>
        </is>
      </c>
      <c r="Q14" s="5" t="inlineStr">
        <is>
          <t>N/A</t>
        </is>
      </c>
    </row>
    <row r="15">
      <c r="A15" s="5" t="inlineStr">
        <is>
          <t>Tomás Henao</t>
        </is>
      </c>
      <c r="B15" s="5" t="inlineStr">
        <is>
          <t>Usuarios</t>
        </is>
      </c>
      <c r="C15" s="5" t="inlineStr">
        <is>
          <t>RF-01</t>
        </is>
      </c>
      <c r="D15" s="5" t="inlineStr">
        <is>
          <t>Registro de usuario</t>
        </is>
      </c>
      <c r="E15" s="5" t="inlineStr">
        <is>
          <t>ESC062</t>
        </is>
      </c>
      <c r="F15" s="5" t="inlineStr">
        <is>
          <t>TC214</t>
        </is>
      </c>
      <c r="G15" s="5" t="inlineStr">
        <is>
          <t>Registro exitoso después de corregir contraseña</t>
        </is>
      </c>
      <c r="H15" s="5" t="inlineStr">
        <is>
          <t>Sistema</t>
        </is>
      </c>
      <c r="I15" s="5" t="inlineStr">
        <is>
          <t>Funcional</t>
        </is>
      </c>
      <c r="J15" s="5" t="inlineStr">
        <is>
          <t>Casos del Excel (diseño + ejecución manual)</t>
        </is>
      </c>
      <c r="K15" s="5" t="inlineStr">
        <is>
          <t>Casos y Escenarios FuBank.xlsx</t>
        </is>
      </c>
      <c r="L15" s="5" t="inlineStr">
        <is>
          <t>El usuario reemplaza la contraseña insegura por una válida y el sistema permite continuar con el registro</t>
        </is>
      </c>
      <c r="M15" s="5" t="inlineStr">
        <is>
          <t>Sin resultado en el Excel</t>
        </is>
      </c>
      <c r="N15" s="6" t="inlineStr">
        <is>
          <t>Sin resultado registrado</t>
        </is>
      </c>
      <c r="O15" s="5" t="inlineStr">
        <is>
          <t>-</t>
        </is>
      </c>
      <c r="P15" s="5" t="inlineStr">
        <is>
          <t>Excel (hoja Casos de Prueba Detallado)</t>
        </is>
      </c>
      <c r="Q15" s="5" t="inlineStr">
        <is>
          <t>N/A</t>
        </is>
      </c>
    </row>
    <row r="16">
      <c r="A16" s="5" t="inlineStr">
        <is>
          <t>Tomás Henao</t>
        </is>
      </c>
      <c r="B16" s="5" t="inlineStr">
        <is>
          <t>Usuarios</t>
        </is>
      </c>
      <c r="C16" s="5" t="inlineStr">
        <is>
          <t>RF-01</t>
        </is>
      </c>
      <c r="D16" s="5" t="inlineStr">
        <is>
          <t>Registro de usuario</t>
        </is>
      </c>
      <c r="E16" s="5" t="inlineStr">
        <is>
          <t>ESC062</t>
        </is>
      </c>
      <c r="F16" s="5" t="inlineStr">
        <is>
          <t>TC215</t>
        </is>
      </c>
      <c r="G16" s="5" t="inlineStr">
        <is>
          <t>Contraseña con longitud extremadamente larga</t>
        </is>
      </c>
      <c r="H16" s="5" t="inlineStr">
        <is>
          <t>Sistema</t>
        </is>
      </c>
      <c r="I16" s="5" t="inlineStr">
        <is>
          <t>Funcional</t>
        </is>
      </c>
      <c r="J16" s="5" t="inlineStr">
        <is>
          <t>Casos del Excel (diseño + ejecución manual)</t>
        </is>
      </c>
      <c r="K16" s="5" t="inlineStr">
        <is>
          <t>Casos y Escenarios FuBank.xlsx</t>
        </is>
      </c>
      <c r="L16" s="5" t="inlineStr">
        <is>
          <t>El usuario ingresa una contraseña extremadamente larga.</t>
        </is>
      </c>
      <c r="M16" s="5" t="inlineStr">
        <is>
          <t>Sin resultado en el Excel</t>
        </is>
      </c>
      <c r="N16" s="6" t="inlineStr">
        <is>
          <t>Sin resultado registrado</t>
        </is>
      </c>
      <c r="O16" s="5" t="inlineStr">
        <is>
          <t>-</t>
        </is>
      </c>
      <c r="P16" s="5" t="inlineStr">
        <is>
          <t>Excel (hoja Casos de Prueba Detallado)</t>
        </is>
      </c>
      <c r="Q16" s="5" t="inlineStr">
        <is>
          <t>N/A</t>
        </is>
      </c>
    </row>
    <row r="17">
      <c r="A17" s="5" t="inlineStr">
        <is>
          <t>Tomás Henao</t>
        </is>
      </c>
      <c r="B17" s="5" t="inlineStr">
        <is>
          <t>Usuarios</t>
        </is>
      </c>
      <c r="C17" s="5" t="inlineStr">
        <is>
          <t>RF-01</t>
        </is>
      </c>
      <c r="D17" s="5" t="inlineStr">
        <is>
          <t>Registro de usuario</t>
        </is>
      </c>
      <c r="E17" s="5" t="inlineStr">
        <is>
          <t>ESC063</t>
        </is>
      </c>
      <c r="F17" s="5" t="inlineStr">
        <is>
          <t>TC216</t>
        </is>
      </c>
      <c r="G17" s="5" t="inlineStr">
        <is>
          <t>Registro con correo electrónico existente</t>
        </is>
      </c>
      <c r="H17" s="5" t="inlineStr">
        <is>
          <t>Sistema</t>
        </is>
      </c>
      <c r="I17" s="5" t="inlineStr">
        <is>
          <t>Funcional</t>
        </is>
      </c>
      <c r="J17" s="5" t="inlineStr">
        <is>
          <t>Casos del Excel (diseño + ejecución manual)</t>
        </is>
      </c>
      <c r="K17" s="5" t="inlineStr">
        <is>
          <t>Casos y Escenarios FuBank.xlsx</t>
        </is>
      </c>
      <c r="L17" s="5" t="inlineStr">
        <is>
          <t>El usuario intenta registrarse ingresando un correo electrónico que ya está asociado a una cuenta existente en la plataforma</t>
        </is>
      </c>
      <c r="M17" s="5" t="inlineStr">
        <is>
          <t>Sin resultado en el Excel</t>
        </is>
      </c>
      <c r="N17" s="6" t="inlineStr">
        <is>
          <t>Sin resultado registrado</t>
        </is>
      </c>
      <c r="O17" s="5" t="inlineStr">
        <is>
          <t>-</t>
        </is>
      </c>
      <c r="P17" s="5" t="inlineStr">
        <is>
          <t>Excel (hoja Casos de Prueba Detallado)</t>
        </is>
      </c>
      <c r="Q17" s="5" t="inlineStr">
        <is>
          <t>N/A</t>
        </is>
      </c>
    </row>
    <row r="18">
      <c r="A18" s="5" t="inlineStr">
        <is>
          <t>Tomás Henao</t>
        </is>
      </c>
      <c r="B18" s="5" t="inlineStr">
        <is>
          <t>Usuarios</t>
        </is>
      </c>
      <c r="C18" s="5" t="inlineStr">
        <is>
          <t>RF-01</t>
        </is>
      </c>
      <c r="D18" s="5" t="inlineStr">
        <is>
          <t>Registro de usuario</t>
        </is>
      </c>
      <c r="E18" s="5" t="inlineStr">
        <is>
          <t>ESC063</t>
        </is>
      </c>
      <c r="F18" s="5" t="inlineStr">
        <is>
          <t>TC217</t>
        </is>
      </c>
      <c r="G18" s="5" t="inlineStr">
        <is>
          <t>Validación de mensaje de correo duplicado</t>
        </is>
      </c>
      <c r="H18" s="5" t="inlineStr">
        <is>
          <t>Sistema</t>
        </is>
      </c>
      <c r="I18" s="5" t="inlineStr">
        <is>
          <t>Funcional</t>
        </is>
      </c>
      <c r="J18" s="5" t="inlineStr">
        <is>
          <t>Casos del Excel (diseño + ejecución manual)</t>
        </is>
      </c>
      <c r="K18" s="5" t="inlineStr">
        <is>
          <t>Casos y Escenarios FuBank.xlsx</t>
        </is>
      </c>
      <c r="L18" s="5" t="inlineStr">
        <is>
          <t>El sistema detecta que el correo ingresado ya existe y muestra un mensaje indicando que el correo está en uso</t>
        </is>
      </c>
      <c r="M18" s="5" t="inlineStr">
        <is>
          <t>Sin resultado en el Excel</t>
        </is>
      </c>
      <c r="N18" s="6" t="inlineStr">
        <is>
          <t>Sin resultado registrado</t>
        </is>
      </c>
      <c r="O18" s="5" t="inlineStr">
        <is>
          <t>-</t>
        </is>
      </c>
      <c r="P18" s="5" t="inlineStr">
        <is>
          <t>Excel (hoja Casos de Prueba Detallado)</t>
        </is>
      </c>
      <c r="Q18" s="5" t="inlineStr">
        <is>
          <t>N/A</t>
        </is>
      </c>
    </row>
    <row r="19">
      <c r="A19" s="5" t="inlineStr">
        <is>
          <t>Tomás Henao</t>
        </is>
      </c>
      <c r="B19" s="5" t="inlineStr">
        <is>
          <t>Usuarios</t>
        </is>
      </c>
      <c r="C19" s="5" t="inlineStr">
        <is>
          <t>RF-01</t>
        </is>
      </c>
      <c r="D19" s="5" t="inlineStr">
        <is>
          <t>Registro de usuario</t>
        </is>
      </c>
      <c r="E19" s="5" t="inlineStr">
        <is>
          <t>ESC063</t>
        </is>
      </c>
      <c r="F19" s="5" t="inlineStr">
        <is>
          <t>TC218</t>
        </is>
      </c>
      <c r="G19" s="5" t="inlineStr">
        <is>
          <t>Impedir creación de cuenta duplicada</t>
        </is>
      </c>
      <c r="H19" s="5" t="inlineStr">
        <is>
          <t>Sistema</t>
        </is>
      </c>
      <c r="I19" s="5" t="inlineStr">
        <is>
          <t>Funcional</t>
        </is>
      </c>
      <c r="J19" s="5" t="inlineStr">
        <is>
          <t>Casos del Excel (diseño + ejecución manual)</t>
        </is>
      </c>
      <c r="K19" s="5" t="inlineStr">
        <is>
          <t>Casos y Escenarios FuBank.xlsx</t>
        </is>
      </c>
      <c r="L19" s="5" t="inlineStr">
        <is>
          <t>El usuario intenta completar el registro con un correo existente y el sistema no deja crear la cuenta</t>
        </is>
      </c>
      <c r="M19" s="5" t="inlineStr">
        <is>
          <t>Sin resultado en el Excel</t>
        </is>
      </c>
      <c r="N19" s="6" t="inlineStr">
        <is>
          <t>Sin resultado registrado</t>
        </is>
      </c>
      <c r="O19" s="5" t="inlineStr">
        <is>
          <t>-</t>
        </is>
      </c>
      <c r="P19" s="5" t="inlineStr">
        <is>
          <t>Excel (hoja Casos de Prueba Detallado)</t>
        </is>
      </c>
      <c r="Q19" s="5" t="inlineStr">
        <is>
          <t>N/A</t>
        </is>
      </c>
    </row>
    <row r="20">
      <c r="A20" s="5" t="inlineStr">
        <is>
          <t>Tomás Henao</t>
        </is>
      </c>
      <c r="B20" s="5" t="inlineStr">
        <is>
          <t>Usuarios</t>
        </is>
      </c>
      <c r="C20" s="5" t="inlineStr">
        <is>
          <t>RF-01</t>
        </is>
      </c>
      <c r="D20" s="5" t="inlineStr">
        <is>
          <t>Registro de usuario</t>
        </is>
      </c>
      <c r="E20" s="5" t="inlineStr">
        <is>
          <t>ESC063</t>
        </is>
      </c>
      <c r="F20" s="5" t="inlineStr">
        <is>
          <t>TC219</t>
        </is>
      </c>
      <c r="G20" s="5" t="inlineStr">
        <is>
          <t>Registro exitoso con correo nuevo después del error</t>
        </is>
      </c>
      <c r="H20" s="5" t="inlineStr">
        <is>
          <t>Sistema</t>
        </is>
      </c>
      <c r="I20" s="5" t="inlineStr">
        <is>
          <t>Funcional</t>
        </is>
      </c>
      <c r="J20" s="5" t="inlineStr">
        <is>
          <t>Casos del Excel (diseño + ejecución manual)</t>
        </is>
      </c>
      <c r="K20" s="5" t="inlineStr">
        <is>
          <t>Casos y Escenarios FuBank.xlsx</t>
        </is>
      </c>
      <c r="L20" s="5" t="inlineStr">
        <is>
          <t>El usuario corrige el correo existente por uno no registrado y el sistema permite completar el proceso de registro</t>
        </is>
      </c>
      <c r="M20" s="5" t="inlineStr">
        <is>
          <t>Sin resultado en el Excel</t>
        </is>
      </c>
      <c r="N20" s="6" t="inlineStr">
        <is>
          <t>Sin resultado registrado</t>
        </is>
      </c>
      <c r="O20" s="5" t="inlineStr">
        <is>
          <t>-</t>
        </is>
      </c>
      <c r="P20" s="5" t="inlineStr">
        <is>
          <t>Excel (hoja Casos de Prueba Detallado)</t>
        </is>
      </c>
      <c r="Q20" s="5" t="inlineStr">
        <is>
          <t>N/A</t>
        </is>
      </c>
    </row>
    <row r="21">
      <c r="A21" s="5" t="inlineStr">
        <is>
          <t>Tomás Henao</t>
        </is>
      </c>
      <c r="B21" s="5" t="inlineStr">
        <is>
          <t>Usuarios</t>
        </is>
      </c>
      <c r="C21" s="5" t="inlineStr">
        <is>
          <t>RF-01</t>
        </is>
      </c>
      <c r="D21" s="5" t="inlineStr">
        <is>
          <t>Registro de usuario</t>
        </is>
      </c>
      <c r="E21" s="5" t="inlineStr">
        <is>
          <t>ESC063</t>
        </is>
      </c>
      <c r="F21" s="5" t="inlineStr">
        <is>
          <t>TC220</t>
        </is>
      </c>
      <c r="G21" s="5" t="inlineStr">
        <is>
          <t>Correo ya existente pero con variaciones de mayusculas</t>
        </is>
      </c>
      <c r="H21" s="5" t="inlineStr">
        <is>
          <t>Sistema</t>
        </is>
      </c>
      <c r="I21" s="5" t="inlineStr">
        <is>
          <t>Funcional</t>
        </is>
      </c>
      <c r="J21" s="5" t="inlineStr">
        <is>
          <t>Casos del Excel (diseño + ejecución manual)</t>
        </is>
      </c>
      <c r="K21" s="5" t="inlineStr">
        <is>
          <t>Casos y Escenarios FuBank.xlsx</t>
        </is>
      </c>
      <c r="L21" s="5" t="inlineStr">
        <is>
          <t>El usuario usa un correo ya en uso pero con variaciones de Mayusculas en la direccion</t>
        </is>
      </c>
      <c r="M21" s="5" t="inlineStr">
        <is>
          <t>Sin resultado en el Excel</t>
        </is>
      </c>
      <c r="N21" s="6" t="inlineStr">
        <is>
          <t>Sin resultado registrado</t>
        </is>
      </c>
      <c r="O21" s="5" t="inlineStr">
        <is>
          <t>-</t>
        </is>
      </c>
      <c r="P21" s="5" t="inlineStr">
        <is>
          <t>Excel (hoja Casos de Prueba Detallado)</t>
        </is>
      </c>
      <c r="Q21" s="5" t="inlineStr">
        <is>
          <t>N/A</t>
        </is>
      </c>
    </row>
    <row r="22">
      <c r="A22" s="5" t="inlineStr">
        <is>
          <t>Tomás Henao</t>
        </is>
      </c>
      <c r="B22" s="5" t="inlineStr">
        <is>
          <t>Usuarios</t>
        </is>
      </c>
      <c r="C22" s="5" t="inlineStr">
        <is>
          <t>RF-01</t>
        </is>
      </c>
      <c r="D22" s="5" t="inlineStr">
        <is>
          <t>Registro de usuario</t>
        </is>
      </c>
      <c r="E22" s="5" t="inlineStr">
        <is>
          <t>ESC064</t>
        </is>
      </c>
      <c r="F22" s="5" t="inlineStr">
        <is>
          <t>TC221</t>
        </is>
      </c>
      <c r="G22" s="5" t="inlineStr">
        <is>
          <t>Registro con todos los campos vacíos</t>
        </is>
      </c>
      <c r="H22" s="5" t="inlineStr">
        <is>
          <t>Sistema</t>
        </is>
      </c>
      <c r="I22" s="5" t="inlineStr">
        <is>
          <t>Funcional</t>
        </is>
      </c>
      <c r="J22" s="5" t="inlineStr">
        <is>
          <t>Casos del Excel (diseño + ejecución manual)</t>
        </is>
      </c>
      <c r="K22" s="5" t="inlineStr">
        <is>
          <t>Casos y Escenarios FuBank.xlsx</t>
        </is>
      </c>
      <c r="L22" s="5" t="inlineStr">
        <is>
          <t>El usuario intenta registrarse sin ingresar ningún dato en el formulario de registro</t>
        </is>
      </c>
      <c r="M22" s="5" t="inlineStr">
        <is>
          <t>Sin resultado en el Excel</t>
        </is>
      </c>
      <c r="N22" s="6" t="inlineStr">
        <is>
          <t>Sin resultado registrado</t>
        </is>
      </c>
      <c r="O22" s="5" t="inlineStr">
        <is>
          <t>-</t>
        </is>
      </c>
      <c r="P22" s="5" t="inlineStr">
        <is>
          <t>Excel (hoja Casos de Prueba Detallado)</t>
        </is>
      </c>
      <c r="Q22" s="5" t="inlineStr">
        <is>
          <t>N/A</t>
        </is>
      </c>
    </row>
    <row r="23">
      <c r="A23" s="5" t="inlineStr">
        <is>
          <t>Tomás Henao</t>
        </is>
      </c>
      <c r="B23" s="5" t="inlineStr">
        <is>
          <t>Usuarios</t>
        </is>
      </c>
      <c r="C23" s="5" t="inlineStr">
        <is>
          <t>RF-01</t>
        </is>
      </c>
      <c r="D23" s="5" t="inlineStr">
        <is>
          <t>Registro de usuario</t>
        </is>
      </c>
      <c r="E23" s="5" t="inlineStr">
        <is>
          <t>ESC064</t>
        </is>
      </c>
      <c r="F23" s="5" t="inlineStr">
        <is>
          <t>TC222</t>
        </is>
      </c>
      <c r="G23" s="5" t="inlineStr">
        <is>
          <t>Registro con un campo obligatorio vacío</t>
        </is>
      </c>
      <c r="H23" s="5" t="inlineStr">
        <is>
          <t>Sistema</t>
        </is>
      </c>
      <c r="I23" s="5" t="inlineStr">
        <is>
          <t>Funcional</t>
        </is>
      </c>
      <c r="J23" s="5" t="inlineStr">
        <is>
          <t>Casos del Excel (diseño + ejecución manual)</t>
        </is>
      </c>
      <c r="K23" s="5" t="inlineStr">
        <is>
          <t>Casos y Escenarios FuBank.xlsx</t>
        </is>
      </c>
      <c r="L23" s="5" t="inlineStr">
        <is>
          <t>El usuario completa el formulario dejando uno de los campos requeridos sin información</t>
        </is>
      </c>
      <c r="M23" s="5" t="inlineStr">
        <is>
          <t>Sin resultado en el Excel</t>
        </is>
      </c>
      <c r="N23" s="6" t="inlineStr">
        <is>
          <t>Sin resultado registrado</t>
        </is>
      </c>
      <c r="O23" s="5" t="inlineStr">
        <is>
          <t>-</t>
        </is>
      </c>
      <c r="P23" s="5" t="inlineStr">
        <is>
          <t>Excel (hoja Casos de Prueba Detallado)</t>
        </is>
      </c>
      <c r="Q23" s="5" t="inlineStr">
        <is>
          <t>N/A</t>
        </is>
      </c>
    </row>
    <row r="24">
      <c r="A24" s="5" t="inlineStr">
        <is>
          <t>Tomás Henao</t>
        </is>
      </c>
      <c r="B24" s="5" t="inlineStr">
        <is>
          <t>Usuarios</t>
        </is>
      </c>
      <c r="C24" s="5" t="inlineStr">
        <is>
          <t>RF-01</t>
        </is>
      </c>
      <c r="D24" s="5" t="inlineStr">
        <is>
          <t>Registro de usuario</t>
        </is>
      </c>
      <c r="E24" s="5" t="inlineStr">
        <is>
          <t>ESC064</t>
        </is>
      </c>
      <c r="F24" s="5" t="inlineStr">
        <is>
          <t>TC223</t>
        </is>
      </c>
      <c r="G24" s="5" t="inlineStr">
        <is>
          <t>Validación de mensajes de campos requeridos</t>
        </is>
      </c>
      <c r="H24" s="5" t="inlineStr">
        <is>
          <t>Sistema</t>
        </is>
      </c>
      <c r="I24" s="5" t="inlineStr">
        <is>
          <t>Funcional</t>
        </is>
      </c>
      <c r="J24" s="5" t="inlineStr">
        <is>
          <t>Casos del Excel (diseño + ejecución manual)</t>
        </is>
      </c>
      <c r="K24" s="5" t="inlineStr">
        <is>
          <t>Casos y Escenarios FuBank.xlsx</t>
        </is>
      </c>
      <c r="L24" s="5" t="inlineStr">
        <is>
          <t>El sistema identifica los campos vacíos y muestra mensajes indicando qué información debe ser completada</t>
        </is>
      </c>
      <c r="M24" s="5" t="inlineStr">
        <is>
          <t>Sin resultado en el Excel</t>
        </is>
      </c>
      <c r="N24" s="6" t="inlineStr">
        <is>
          <t>Sin resultado registrado</t>
        </is>
      </c>
      <c r="O24" s="5" t="inlineStr">
        <is>
          <t>-</t>
        </is>
      </c>
      <c r="P24" s="5" t="inlineStr">
        <is>
          <t>Excel (hoja Casos de Prueba Detallado)</t>
        </is>
      </c>
      <c r="Q24" s="5" t="inlineStr">
        <is>
          <t>N/A</t>
        </is>
      </c>
    </row>
    <row r="25">
      <c r="A25" s="5" t="inlineStr">
        <is>
          <t>Tomás Henao</t>
        </is>
      </c>
      <c r="B25" s="5" t="inlineStr">
        <is>
          <t>Usuarios</t>
        </is>
      </c>
      <c r="C25" s="5" t="inlineStr">
        <is>
          <t>RF-01</t>
        </is>
      </c>
      <c r="D25" s="5" t="inlineStr">
        <is>
          <t>Registro de usuario</t>
        </is>
      </c>
      <c r="E25" s="5" t="inlineStr">
        <is>
          <t>ESC064</t>
        </is>
      </c>
      <c r="F25" s="5" t="inlineStr">
        <is>
          <t>TC224</t>
        </is>
      </c>
      <c r="G25" s="5" t="inlineStr">
        <is>
          <t>Bloqueo de registro por información incompleta</t>
        </is>
      </c>
      <c r="H25" s="5" t="inlineStr">
        <is>
          <t>Sistema</t>
        </is>
      </c>
      <c r="I25" s="5" t="inlineStr">
        <is>
          <t>Funcional</t>
        </is>
      </c>
      <c r="J25" s="5" t="inlineStr">
        <is>
          <t>Casos del Excel (diseño + ejecución manual)</t>
        </is>
      </c>
      <c r="K25" s="5" t="inlineStr">
        <is>
          <t>Casos y Escenarios FuBank.xlsx</t>
        </is>
      </c>
      <c r="L25" s="5" t="inlineStr">
        <is>
          <t>El usuario intenta enviar el formulario incompleto y el sistema impide la creación de la cuenta</t>
        </is>
      </c>
      <c r="M25" s="5" t="inlineStr">
        <is>
          <t>Sin resultado en el Excel</t>
        </is>
      </c>
      <c r="N25" s="6" t="inlineStr">
        <is>
          <t>Sin resultado registrado</t>
        </is>
      </c>
      <c r="O25" s="5" t="inlineStr">
        <is>
          <t>-</t>
        </is>
      </c>
      <c r="P25" s="5" t="inlineStr">
        <is>
          <t>Excel (hoja Casos de Prueba Detallado)</t>
        </is>
      </c>
      <c r="Q25" s="5" t="inlineStr">
        <is>
          <t>N/A</t>
        </is>
      </c>
    </row>
    <row r="26">
      <c r="A26" s="5" t="inlineStr">
        <is>
          <t>Tomás Henao</t>
        </is>
      </c>
      <c r="B26" s="5" t="inlineStr">
        <is>
          <t>Usuarios</t>
        </is>
      </c>
      <c r="C26" s="5" t="inlineStr">
        <is>
          <t>RF-01</t>
        </is>
      </c>
      <c r="D26" s="5" t="inlineStr">
        <is>
          <t>Registro de usuario</t>
        </is>
      </c>
      <c r="E26" s="5" t="inlineStr">
        <is>
          <t>auth/login.cy.ts</t>
        </is>
      </c>
      <c r="F26" s="5" t="inlineStr">
        <is>
          <t>CYU-LOGIN.-04</t>
        </is>
      </c>
      <c r="G26" s="5" t="inlineStr">
        <is>
          <t>CP04: Login con correo no registrado muestra error genérico</t>
        </is>
      </c>
      <c r="H26" s="5" t="inlineStr">
        <is>
          <t>Sistema (E2E)</t>
        </is>
      </c>
      <c r="I26" s="5" t="inlineStr">
        <is>
          <t>Funcional</t>
        </is>
      </c>
      <c r="J26" s="5" t="inlineStr">
        <is>
          <t>Cypress (Usuarios y Retiro, Tomás)</t>
        </is>
      </c>
      <c r="K26" s="5" t="inlineStr">
        <is>
          <t>cypress/e2e/auth/login.cy.ts</t>
        </is>
      </c>
      <c r="L26" s="5" t="inlineStr">
        <is>
          <t>CP04: Login con correo no registrado muestra error genérico</t>
        </is>
      </c>
      <c r="M26" s="5" t="inlineStr">
        <is>
          <t>No ejecutado: usa /auth/test-helper/* y las cuentas fijas de c9ce5f4 (regresión REG-01 abierta)</t>
        </is>
      </c>
      <c r="N26" s="6" t="inlineStr">
        <is>
          <t>No ejecutado</t>
        </is>
      </c>
      <c r="O26" s="5" t="inlineStr">
        <is>
          <t>-</t>
        </is>
      </c>
      <c r="P26" s="5" t="inlineStr">
        <is>
          <t>-</t>
        </is>
      </c>
      <c r="Q26" s="5" t="inlineStr">
        <is>
          <t>-</t>
        </is>
      </c>
    </row>
    <row r="27">
      <c r="A27" s="5" t="inlineStr">
        <is>
          <t>Tomás Henao</t>
        </is>
      </c>
      <c r="B27" s="5" t="inlineStr">
        <is>
          <t>Usuarios</t>
        </is>
      </c>
      <c r="C27" s="5" t="inlineStr">
        <is>
          <t>RF-01</t>
        </is>
      </c>
      <c r="D27" s="5" t="inlineStr">
        <is>
          <t>Registro de usuario</t>
        </is>
      </c>
      <c r="E27" s="5" t="inlineStr">
        <is>
          <t>auth/register.cy.ts</t>
        </is>
      </c>
      <c r="F27" s="5" t="inlineStr">
        <is>
          <t>CYU-REGIST-01</t>
        </is>
      </c>
      <c r="G27" s="5" t="inlineStr">
        <is>
          <t>CP01: Registro Exitoso con datos válidos y únicos</t>
        </is>
      </c>
      <c r="H27" s="5" t="inlineStr">
        <is>
          <t>Sistema (E2E)</t>
        </is>
      </c>
      <c r="I27" s="5" t="inlineStr">
        <is>
          <t>Funcional</t>
        </is>
      </c>
      <c r="J27" s="5" t="inlineStr">
        <is>
          <t>Cypress (Usuarios y Retiro, Tomás)</t>
        </is>
      </c>
      <c r="K27" s="5" t="inlineStr">
        <is>
          <t>cypress/e2e/auth/register.cy.ts</t>
        </is>
      </c>
      <c r="L27" s="5" t="inlineStr">
        <is>
          <t>CP01: Registro Exitoso con datos válidos y únicos</t>
        </is>
      </c>
      <c r="M27" s="5" t="inlineStr">
        <is>
          <t>No ejecutado: usa /auth/test-helper/* y las cuentas fijas de c9ce5f4 (regresión REG-01 abierta)</t>
        </is>
      </c>
      <c r="N27" s="6" t="inlineStr">
        <is>
          <t>No ejecutado</t>
        </is>
      </c>
      <c r="O27" s="5" t="inlineStr">
        <is>
          <t>-</t>
        </is>
      </c>
      <c r="P27" s="5" t="inlineStr">
        <is>
          <t>-</t>
        </is>
      </c>
      <c r="Q27" s="5" t="inlineStr">
        <is>
          <t>-</t>
        </is>
      </c>
    </row>
    <row r="28">
      <c r="A28" s="5" t="inlineStr">
        <is>
          <t>Tomás Henao</t>
        </is>
      </c>
      <c r="B28" s="5" t="inlineStr">
        <is>
          <t>Usuarios</t>
        </is>
      </c>
      <c r="C28" s="5" t="inlineStr">
        <is>
          <t>RF-01</t>
        </is>
      </c>
      <c r="D28" s="5" t="inlineStr">
        <is>
          <t>Registro de usuario</t>
        </is>
      </c>
      <c r="E28" s="5" t="inlineStr">
        <is>
          <t>auth/register.cy.ts</t>
        </is>
      </c>
      <c r="F28" s="5" t="inlineStr">
        <is>
          <t>CYU-REGIST-02</t>
        </is>
      </c>
      <c r="G28" s="5" t="inlineStr">
        <is>
          <t>CP02: Registro con correo duplicado muestra mensaje de error</t>
        </is>
      </c>
      <c r="H28" s="5" t="inlineStr">
        <is>
          <t>Sistema (E2E)</t>
        </is>
      </c>
      <c r="I28" s="5" t="inlineStr">
        <is>
          <t>Funcional</t>
        </is>
      </c>
      <c r="J28" s="5" t="inlineStr">
        <is>
          <t>Cypress (Usuarios y Retiro, Tomás)</t>
        </is>
      </c>
      <c r="K28" s="5" t="inlineStr">
        <is>
          <t>cypress/e2e/auth/register.cy.ts</t>
        </is>
      </c>
      <c r="L28" s="5" t="inlineStr">
        <is>
          <t>CP02: Registro con correo duplicado muestra mensaje de error</t>
        </is>
      </c>
      <c r="M28" s="5" t="inlineStr">
        <is>
          <t>No ejecutado: usa /auth/test-helper/* y las cuentas fijas de c9ce5f4 (regresión REG-01 abierta)</t>
        </is>
      </c>
      <c r="N28" s="6" t="inlineStr">
        <is>
          <t>No ejecutado</t>
        </is>
      </c>
      <c r="O28" s="5" t="inlineStr">
        <is>
          <t>-</t>
        </is>
      </c>
      <c r="P28" s="5" t="inlineStr">
        <is>
          <t>-</t>
        </is>
      </c>
      <c r="Q28" s="5" t="inlineStr">
        <is>
          <t>-</t>
        </is>
      </c>
    </row>
    <row r="29">
      <c r="A29" s="5" t="inlineStr">
        <is>
          <t>Tomás Henao</t>
        </is>
      </c>
      <c r="B29" s="5" t="inlineStr">
        <is>
          <t>Usuarios</t>
        </is>
      </c>
      <c r="C29" s="5" t="inlineStr">
        <is>
          <t>RF-01</t>
        </is>
      </c>
      <c r="D29" s="5" t="inlineStr">
        <is>
          <t>Registro de usuario</t>
        </is>
      </c>
      <c r="E29" s="5" t="inlineStr">
        <is>
          <t>auth/register.cy.ts</t>
        </is>
      </c>
      <c r="F29" s="5" t="inlineStr">
        <is>
          <t>CYU-REGIST-04</t>
        </is>
      </c>
      <c r="G29" s="5" t="inlineStr">
        <is>
          <t>CP04: Registro con campos obligatorios vacíos muestra errores de validación</t>
        </is>
      </c>
      <c r="H29" s="5" t="inlineStr">
        <is>
          <t>Sistema (E2E)</t>
        </is>
      </c>
      <c r="I29" s="5" t="inlineStr">
        <is>
          <t>Funcional</t>
        </is>
      </c>
      <c r="J29" s="5" t="inlineStr">
        <is>
          <t>Cypress (Usuarios y Retiro, Tomás)</t>
        </is>
      </c>
      <c r="K29" s="5" t="inlineStr">
        <is>
          <t>cypress/e2e/auth/register.cy.ts</t>
        </is>
      </c>
      <c r="L29" s="5" t="inlineStr">
        <is>
          <t>CP04: Registro con campos obligatorios vacíos muestra errores de validación</t>
        </is>
      </c>
      <c r="M29" s="5" t="inlineStr">
        <is>
          <t>No ejecutado: usa /auth/test-helper/* y las cuentas fijas de c9ce5f4 (regresión REG-01 abierta)</t>
        </is>
      </c>
      <c r="N29" s="6" t="inlineStr">
        <is>
          <t>No ejecutado</t>
        </is>
      </c>
      <c r="O29" s="5" t="inlineStr">
        <is>
          <t>-</t>
        </is>
      </c>
      <c r="P29" s="5" t="inlineStr">
        <is>
          <t>-</t>
        </is>
      </c>
      <c r="Q29" s="5" t="inlineStr">
        <is>
          <t>-</t>
        </is>
      </c>
    </row>
    <row r="30">
      <c r="A30" s="5" t="inlineStr">
        <is>
          <t>Tomás Henao</t>
        </is>
      </c>
      <c r="B30" s="5" t="inlineStr">
        <is>
          <t>Usuarios</t>
        </is>
      </c>
      <c r="C30" s="5" t="inlineStr">
        <is>
          <t>RF-01</t>
        </is>
      </c>
      <c r="D30" s="5" t="inlineStr">
        <is>
          <t>Registro de usuario</t>
        </is>
      </c>
      <c r="E30" s="5" t="inlineStr">
        <is>
          <t>Katalon Recorder</t>
        </is>
      </c>
      <c r="F30" s="5" t="inlineStr">
        <is>
          <t>Suite_08_Registro</t>
        </is>
      </c>
      <c r="G30" s="5" t="inlineStr">
        <is>
          <t>Suite_08_Registro (Tomás)</t>
        </is>
      </c>
      <c r="H30" s="5" t="inlineStr">
        <is>
          <t>Sistema (E2E)</t>
        </is>
      </c>
      <c r="I30" s="5" t="inlineStr">
        <is>
          <t>Funcional</t>
        </is>
      </c>
      <c r="J30" s="5" t="inlineStr">
        <is>
          <t>Katalon Recorder</t>
        </is>
      </c>
      <c r="K30" s="5" t="inlineStr">
        <is>
          <t>katalon/suites/Suite_08_Registro.html</t>
        </is>
      </c>
      <c r="L30" s="5" t="inlineStr">
        <is>
          <t>Todos los casos de la suite pasan</t>
        </is>
      </c>
      <c r="M30" s="5" t="inlineStr">
        <is>
          <t>Sin resultado registrado en el repositorio</t>
        </is>
      </c>
      <c r="N30" s="6" t="inlineStr">
        <is>
          <t>Sin resultado registrado</t>
        </is>
      </c>
      <c r="O30" s="5" t="inlineStr">
        <is>
          <t>-</t>
        </is>
      </c>
      <c r="P30" s="5" t="inlineStr">
        <is>
          <t>-</t>
        </is>
      </c>
      <c r="Q30" s="5" t="inlineStr">
        <is>
          <t>-</t>
        </is>
      </c>
    </row>
    <row r="31">
      <c r="A31" s="5" t="inlineStr">
        <is>
          <t>Tomás Henao</t>
        </is>
      </c>
      <c r="B31" s="5" t="inlineStr">
        <is>
          <t>Usuarios</t>
        </is>
      </c>
      <c r="C31" s="5" t="inlineStr">
        <is>
          <t>RF-01</t>
        </is>
      </c>
      <c r="D31" s="5" t="inlineStr">
        <is>
          <t>Registro de usuario</t>
        </is>
      </c>
      <c r="E31" s="5" t="inlineStr">
        <is>
          <t>registro.feature</t>
        </is>
      </c>
      <c r="F31" s="5" t="inlineStr">
        <is>
          <t>SJ-REGI-01</t>
        </is>
      </c>
      <c r="G31" s="5" t="inlineStr">
        <is>
          <t>Registro exitoso de nuevo usuario</t>
        </is>
      </c>
      <c r="H31" s="5" t="inlineStr">
        <is>
          <t>Integración (API)</t>
        </is>
      </c>
      <c r="I31" s="5" t="inlineStr">
        <is>
          <t>Funcional</t>
        </is>
      </c>
      <c r="J31" s="5" t="inlineStr">
        <is>
          <t>Serenity/JS Screenplay + Gherkin</t>
        </is>
      </c>
      <c r="K31" s="5" t="inlineStr">
        <is>
          <t>features/registro/registro.feature</t>
        </is>
      </c>
      <c r="L31" s="5" t="inlineStr">
        <is>
          <t>Registro exitoso de nuevo usuario</t>
        </is>
      </c>
      <c r="M31" s="5" t="inlineStr">
        <is>
          <t>Todos los pasos pasaron</t>
        </is>
      </c>
      <c r="N31" s="7" t="inlineStr">
        <is>
          <t>Aprobado</t>
        </is>
      </c>
      <c r="O31" s="5" t="inlineStr">
        <is>
          <t>2026-10-27</t>
        </is>
      </c>
      <c r="P31" s="5" t="inlineStr">
        <is>
          <t>docs/evidencia-final-equipo/serenity-equipo-corrida.txt</t>
        </is>
      </c>
      <c r="Q31" s="5" t="inlineStr">
        <is>
          <t>-</t>
        </is>
      </c>
    </row>
    <row r="32">
      <c r="A32" s="5" t="inlineStr">
        <is>
          <t>Tomás Henao</t>
        </is>
      </c>
      <c r="B32" s="5" t="inlineStr">
        <is>
          <t>Usuarios</t>
        </is>
      </c>
      <c r="C32" s="5" t="inlineStr">
        <is>
          <t>RF-01</t>
        </is>
      </c>
      <c r="D32" s="5" t="inlineStr">
        <is>
          <t>Registro de usuario</t>
        </is>
      </c>
      <c r="E32" s="5" t="inlineStr">
        <is>
          <t>registro.feature</t>
        </is>
      </c>
      <c r="F32" s="5" t="inlineStr">
        <is>
          <t>SJ-REGI-02</t>
        </is>
      </c>
      <c r="G32" s="5" t="inlineStr">
        <is>
          <t>Registro con email ya existente</t>
        </is>
      </c>
      <c r="H32" s="5" t="inlineStr">
        <is>
          <t>Integración (API)</t>
        </is>
      </c>
      <c r="I32" s="5" t="inlineStr">
        <is>
          <t>Funcional</t>
        </is>
      </c>
      <c r="J32" s="5" t="inlineStr">
        <is>
          <t>Serenity/JS Screenplay + Gherkin</t>
        </is>
      </c>
      <c r="K32" s="5" t="inlineStr">
        <is>
          <t>features/registro/registro.feature</t>
        </is>
      </c>
      <c r="L32" s="5" t="inlineStr">
        <is>
          <t>Registro con email ya existente</t>
        </is>
      </c>
      <c r="M32" s="5" t="inlineStr">
        <is>
          <t>Todos los pasos pasaron</t>
        </is>
      </c>
      <c r="N32" s="7" t="inlineStr">
        <is>
          <t>Aprobado</t>
        </is>
      </c>
      <c r="O32" s="5" t="inlineStr">
        <is>
          <t>2026-10-27</t>
        </is>
      </c>
      <c r="P32" s="5" t="inlineStr">
        <is>
          <t>docs/evidencia-final-equipo/serenity-equipo-corrida.txt</t>
        </is>
      </c>
      <c r="Q32" s="5" t="inlineStr">
        <is>
          <t>-</t>
        </is>
      </c>
    </row>
    <row r="33">
      <c r="A33" s="5" t="inlineStr">
        <is>
          <t>Tomás Henao</t>
        </is>
      </c>
      <c r="B33" s="5" t="inlineStr">
        <is>
          <t>Usuarios</t>
        </is>
      </c>
      <c r="C33" s="5" t="inlineStr">
        <is>
          <t>RF-01</t>
        </is>
      </c>
      <c r="D33" s="5" t="inlineStr">
        <is>
          <t>Registro de usuario</t>
        </is>
      </c>
      <c r="E33" s="5" t="inlineStr">
        <is>
          <t>registro.feature</t>
        </is>
      </c>
      <c r="F33" s="5" t="inlineStr">
        <is>
          <t>SJ-REGI-03</t>
        </is>
      </c>
      <c r="G33" s="5" t="inlineStr">
        <is>
          <t>Registro con contraseña débil</t>
        </is>
      </c>
      <c r="H33" s="5" t="inlineStr">
        <is>
          <t>Integración (API)</t>
        </is>
      </c>
      <c r="I33" s="5" t="inlineStr">
        <is>
          <t>Funcional</t>
        </is>
      </c>
      <c r="J33" s="5" t="inlineStr">
        <is>
          <t>Serenity/JS Screenplay + Gherkin</t>
        </is>
      </c>
      <c r="K33" s="5" t="inlineStr">
        <is>
          <t>features/registro/registro.feature</t>
        </is>
      </c>
      <c r="L33" s="5" t="inlineStr">
        <is>
          <t>Registro con contraseña débil</t>
        </is>
      </c>
      <c r="M33" s="5" t="inlineStr">
        <is>
          <t>Todos los pasos pasaron</t>
        </is>
      </c>
      <c r="N33" s="7" t="inlineStr">
        <is>
          <t>Aprobado</t>
        </is>
      </c>
      <c r="O33" s="5" t="inlineStr">
        <is>
          <t>2026-10-27</t>
        </is>
      </c>
      <c r="P33" s="5" t="inlineStr">
        <is>
          <t>docs/evidencia-final-equipo/serenity-equipo-corrida.txt</t>
        </is>
      </c>
      <c r="Q33" s="5" t="inlineStr">
        <is>
          <t>-</t>
        </is>
      </c>
    </row>
    <row r="34">
      <c r="A34" s="5" t="inlineStr">
        <is>
          <t>Tomás Henao</t>
        </is>
      </c>
      <c r="B34" s="5" t="inlineStr">
        <is>
          <t>Usuarios</t>
        </is>
      </c>
      <c r="C34" s="5" t="inlineStr">
        <is>
          <t>RF-01</t>
        </is>
      </c>
      <c r="D34" s="5" t="inlineStr">
        <is>
          <t>Registro de usuario</t>
        </is>
      </c>
      <c r="E34" s="5" t="inlineStr">
        <is>
          <t>registro.feature</t>
        </is>
      </c>
      <c r="F34" s="5" t="inlineStr">
        <is>
          <t>SJ-REGI-04</t>
        </is>
      </c>
      <c r="G34" s="5" t="inlineStr">
        <is>
          <t>Registro con email inválido</t>
        </is>
      </c>
      <c r="H34" s="5" t="inlineStr">
        <is>
          <t>Integración (API)</t>
        </is>
      </c>
      <c r="I34" s="5" t="inlineStr">
        <is>
          <t>Funcional</t>
        </is>
      </c>
      <c r="J34" s="5" t="inlineStr">
        <is>
          <t>Serenity/JS Screenplay + Gherkin</t>
        </is>
      </c>
      <c r="K34" s="5" t="inlineStr">
        <is>
          <t>features/registro/registro.feature</t>
        </is>
      </c>
      <c r="L34" s="5" t="inlineStr">
        <is>
          <t>Registro con email inválido</t>
        </is>
      </c>
      <c r="M34" s="5" t="inlineStr">
        <is>
          <t>Todos los pasos pasaron</t>
        </is>
      </c>
      <c r="N34" s="7" t="inlineStr">
        <is>
          <t>Aprobado</t>
        </is>
      </c>
      <c r="O34" s="5" t="inlineStr">
        <is>
          <t>2026-10-27</t>
        </is>
      </c>
      <c r="P34" s="5" t="inlineStr">
        <is>
          <t>docs/evidencia-final-equipo/serenity-equipo-corrida.txt</t>
        </is>
      </c>
      <c r="Q34" s="5" t="inlineStr">
        <is>
          <t>-</t>
        </is>
      </c>
    </row>
    <row r="35">
      <c r="A35" s="5" t="inlineStr">
        <is>
          <t>Tomás Henao</t>
        </is>
      </c>
      <c r="B35" s="5" t="inlineStr">
        <is>
          <t>Usuarios</t>
        </is>
      </c>
      <c r="C35" s="5" t="inlineStr">
        <is>
          <t>RF-01</t>
        </is>
      </c>
      <c r="D35" s="5" t="inlineStr">
        <is>
          <t>Registro de usuario</t>
        </is>
      </c>
      <c r="E35" s="5" t="inlineStr">
        <is>
          <t>Stagehand</t>
        </is>
      </c>
      <c r="F35" s="5" t="inlineStr">
        <is>
          <t>SH-T08</t>
        </is>
      </c>
      <c r="G35" s="5" t="inlineStr">
        <is>
          <t>08-registro-usuarios (act + extract + observe, 7 pasos)</t>
        </is>
      </c>
      <c r="H35" s="5" t="inlineStr">
        <is>
          <t>Sistema (E2E con IA)</t>
        </is>
      </c>
      <c r="I35" s="5" t="inlineStr">
        <is>
          <t>Funcional</t>
        </is>
      </c>
      <c r="J35" s="5" t="inlineStr">
        <is>
          <t>Stagehand (Tomás)</t>
        </is>
      </c>
      <c r="K35" s="5" t="inlineStr">
        <is>
          <t>e2e/stagehand/src/scenarios/</t>
        </is>
      </c>
      <c r="L35" s="5" t="inlineStr">
        <is>
          <t>Ver escenario</t>
        </is>
      </c>
      <c r="M35" s="5" t="inlineStr">
        <is>
          <t>Reporte generado al completar el escenario</t>
        </is>
      </c>
      <c r="N35" s="8" t="inlineStr">
        <is>
          <t>Aprobado (reportado)</t>
        </is>
      </c>
      <c r="O35" s="5" t="inlineStr">
        <is>
          <t>2026-10-27</t>
        </is>
      </c>
      <c r="P35" s="5" t="inlineStr">
        <is>
          <t>e2e/stagehand/evidence/08-registro-usuarios-report.json</t>
        </is>
      </c>
      <c r="Q35" s="5" t="inlineStr">
        <is>
          <t>-</t>
        </is>
      </c>
    </row>
    <row r="36">
      <c r="A36" s="5" t="inlineStr">
        <is>
          <t>Tomás Henao</t>
        </is>
      </c>
      <c r="B36" s="5" t="inlineStr">
        <is>
          <t>Usuarios</t>
        </is>
      </c>
      <c r="C36" s="5" t="inlineStr">
        <is>
          <t>RF-01</t>
        </is>
      </c>
      <c r="D36" s="5" t="inlineStr">
        <is>
          <t>Registro de usuario</t>
        </is>
      </c>
      <c r="E36" s="5" t="inlineStr">
        <is>
          <t>Vitest backend · unitaria</t>
        </is>
      </c>
      <c r="F36" s="5" t="inlineStr">
        <is>
          <t>VT-RegisterUser.integration.test</t>
        </is>
      </c>
      <c r="G36" s="5" t="inlineStr">
        <is>
          <t>RegisterUser.integration.test.ts (1 pruebas)</t>
        </is>
      </c>
      <c r="H36" s="5" t="inlineStr">
        <is>
          <t>Unitaria / Integración</t>
        </is>
      </c>
      <c r="I36" s="5" t="inlineStr">
        <is>
          <t>Funcional</t>
        </is>
      </c>
      <c r="J36" s="5" t="inlineStr">
        <is>
          <t>Vitest backend</t>
        </is>
      </c>
      <c r="K36" s="5" t="inlineStr">
        <is>
          <t>backend/src/tests/integration/RegisterUser.integration.test.ts</t>
        </is>
      </c>
      <c r="L36" s="5" t="inlineStr">
        <is>
          <t>Todas las pruebas del archivo pasan</t>
        </is>
      </c>
      <c r="M36" s="5" t="inlineStr">
        <is>
          <t>1/1 pasan</t>
        </is>
      </c>
      <c r="N36" s="7" t="inlineStr">
        <is>
          <t>Aprobado</t>
        </is>
      </c>
      <c r="O36" s="5" t="inlineStr">
        <is>
          <t>2026-10-27</t>
        </is>
      </c>
      <c r="P36" s="5" t="inlineStr">
        <is>
          <t>docs/evidencia-final-equipo/vitest-backend.json</t>
        </is>
      </c>
      <c r="Q36" s="5" t="inlineStr">
        <is>
          <t>-</t>
        </is>
      </c>
    </row>
    <row r="37">
      <c r="A37" s="5" t="inlineStr">
        <is>
          <t>Tomás Henao</t>
        </is>
      </c>
      <c r="B37" s="5" t="inlineStr">
        <is>
          <t>Usuarios</t>
        </is>
      </c>
      <c r="C37" s="5" t="inlineStr">
        <is>
          <t>RF-01</t>
        </is>
      </c>
      <c r="D37" s="5" t="inlineStr">
        <is>
          <t>Registro de usuario</t>
        </is>
      </c>
      <c r="E37" s="5" t="inlineStr">
        <is>
          <t>Vitest backend · unitaria</t>
        </is>
      </c>
      <c r="F37" s="5" t="inlineStr">
        <is>
          <t>VT-RegisterUser.mock.test</t>
        </is>
      </c>
      <c r="G37" s="5" t="inlineStr">
        <is>
          <t>RegisterUser.mock.test.ts (4 pruebas)</t>
        </is>
      </c>
      <c r="H37" s="5" t="inlineStr">
        <is>
          <t>Unitaria / Integración</t>
        </is>
      </c>
      <c r="I37" s="5" t="inlineStr">
        <is>
          <t>Funcional</t>
        </is>
      </c>
      <c r="J37" s="5" t="inlineStr">
        <is>
          <t>Vitest backend</t>
        </is>
      </c>
      <c r="K37" s="5" t="inlineStr">
        <is>
          <t>backend/src/tests/auth/mocks/RegisterUser.mock.test.ts</t>
        </is>
      </c>
      <c r="L37" s="5" t="inlineStr">
        <is>
          <t>Todas las pruebas del archivo pasan</t>
        </is>
      </c>
      <c r="M37" s="5" t="inlineStr">
        <is>
          <t>4/4 pasan</t>
        </is>
      </c>
      <c r="N37" s="7" t="inlineStr">
        <is>
          <t>Aprobado</t>
        </is>
      </c>
      <c r="O37" s="5" t="inlineStr">
        <is>
          <t>2026-10-27</t>
        </is>
      </c>
      <c r="P37" s="5" t="inlineStr">
        <is>
          <t>docs/evidencia-final-equipo/vitest-backend.json</t>
        </is>
      </c>
      <c r="Q37" s="5" t="inlineStr">
        <is>
          <t>-</t>
        </is>
      </c>
    </row>
    <row r="38">
      <c r="A38" s="5" t="inlineStr">
        <is>
          <t>Tomás Henao</t>
        </is>
      </c>
      <c r="B38" s="5" t="inlineStr">
        <is>
          <t>Usuarios</t>
        </is>
      </c>
      <c r="C38" s="5" t="inlineStr">
        <is>
          <t>RF-01</t>
        </is>
      </c>
      <c r="D38" s="5" t="inlineStr">
        <is>
          <t>Registro de usuario</t>
        </is>
      </c>
      <c r="E38" s="5" t="inlineStr">
        <is>
          <t>Vitest backend · unitaria</t>
        </is>
      </c>
      <c r="F38" s="5" t="inlineStr">
        <is>
          <t>VT-RegisterUser.test</t>
        </is>
      </c>
      <c r="G38" s="5" t="inlineStr">
        <is>
          <t>RegisterUser.test.ts (4 pruebas)</t>
        </is>
      </c>
      <c r="H38" s="5" t="inlineStr">
        <is>
          <t>Unitaria / Integración</t>
        </is>
      </c>
      <c r="I38" s="5" t="inlineStr">
        <is>
          <t>Funcional</t>
        </is>
      </c>
      <c r="J38" s="5" t="inlineStr">
        <is>
          <t>Vitest backend</t>
        </is>
      </c>
      <c r="K38" s="5" t="inlineStr">
        <is>
          <t>backend/src/tests/auth/RegisterUser.test.ts</t>
        </is>
      </c>
      <c r="L38" s="5" t="inlineStr">
        <is>
          <t>Todas las pruebas del archivo pasan</t>
        </is>
      </c>
      <c r="M38" s="5" t="inlineStr">
        <is>
          <t>4/4 pasan</t>
        </is>
      </c>
      <c r="N38" s="7" t="inlineStr">
        <is>
          <t>Aprobado</t>
        </is>
      </c>
      <c r="O38" s="5" t="inlineStr">
        <is>
          <t>2026-10-27</t>
        </is>
      </c>
      <c r="P38" s="5" t="inlineStr">
        <is>
          <t>docs/evidencia-final-equipo/vitest-backend.json</t>
        </is>
      </c>
      <c r="Q38" s="5" t="inlineStr">
        <is>
          <t>-</t>
        </is>
      </c>
    </row>
    <row r="39">
      <c r="A39" s="5" t="inlineStr">
        <is>
          <t>Tomás Henao</t>
        </is>
      </c>
      <c r="B39" s="5" t="inlineStr">
        <is>
          <t>Usuarios</t>
        </is>
      </c>
      <c r="C39" s="5" t="inlineStr">
        <is>
          <t>RF-01</t>
        </is>
      </c>
      <c r="D39" s="5" t="inlineStr">
        <is>
          <t>Registro de usuario</t>
        </is>
      </c>
      <c r="E39" s="5" t="inlineStr">
        <is>
          <t>Vitest frontend · unitaria</t>
        </is>
      </c>
      <c r="F39" s="5" t="inlineStr">
        <is>
          <t>VT-RegisterForm.test</t>
        </is>
      </c>
      <c r="G39" s="5" t="inlineStr">
        <is>
          <t>RegisterForm.test.tsx (4 pruebas)</t>
        </is>
      </c>
      <c r="H39" s="5" t="inlineStr">
        <is>
          <t>Unitaria / Integración</t>
        </is>
      </c>
      <c r="I39" s="5" t="inlineStr">
        <is>
          <t>Funcional</t>
        </is>
      </c>
      <c r="J39" s="5" t="inlineStr">
        <is>
          <t>Vitest frontend</t>
        </is>
      </c>
      <c r="K39" s="5" t="inlineStr">
        <is>
          <t>frontend/src/tests/unit/auth/RegisterForm.test.tsx</t>
        </is>
      </c>
      <c r="L39" s="5" t="inlineStr">
        <is>
          <t>Todas las pruebas del archivo pasan</t>
        </is>
      </c>
      <c r="M39" s="5" t="inlineStr">
        <is>
          <t>4/4 pasan</t>
        </is>
      </c>
      <c r="N39" s="7" t="inlineStr">
        <is>
          <t>Aprobado</t>
        </is>
      </c>
      <c r="O39" s="5" t="inlineStr">
        <is>
          <t>2026-10-27</t>
        </is>
      </c>
      <c r="P39" s="5" t="inlineStr">
        <is>
          <t>docs/evidencia-final-equipo/vitest-frontend.json</t>
        </is>
      </c>
      <c r="Q39" s="5" t="inlineStr">
        <is>
          <t>-</t>
        </is>
      </c>
    </row>
    <row r="40">
      <c r="A40" s="5" t="inlineStr">
        <is>
          <t>Tomás Henao</t>
        </is>
      </c>
      <c r="B40" s="5" t="inlineStr">
        <is>
          <t>Usuarios</t>
        </is>
      </c>
      <c r="C40" s="5" t="inlineStr">
        <is>
          <t>RF-01</t>
        </is>
      </c>
      <c r="D40" s="5" t="inlineStr">
        <is>
          <t>Registro de usuario</t>
        </is>
      </c>
      <c r="E40" s="5" t="inlineStr">
        <is>
          <t>Vitest frontend · unitaria</t>
        </is>
      </c>
      <c r="F40" s="5" t="inlineStr">
        <is>
          <t>VT-RegisterForm.test</t>
        </is>
      </c>
      <c r="G40" s="5" t="inlineStr">
        <is>
          <t>RegisterForm.test.tsx (4 pruebas)</t>
        </is>
      </c>
      <c r="H40" s="5" t="inlineStr">
        <is>
          <t>Unitaria / Integración</t>
        </is>
      </c>
      <c r="I40" s="5" t="inlineStr">
        <is>
          <t>Funcional</t>
        </is>
      </c>
      <c r="J40" s="5" t="inlineStr">
        <is>
          <t>Vitest frontend</t>
        </is>
      </c>
      <c r="K40" s="5" t="inlineStr">
        <is>
          <t>frontend/src/tests/unit/components/RegisterForm.test.tsx</t>
        </is>
      </c>
      <c r="L40" s="5" t="inlineStr">
        <is>
          <t>Todas las pruebas del archivo pasan</t>
        </is>
      </c>
      <c r="M40" s="5" t="inlineStr">
        <is>
          <t>4/4 pasan</t>
        </is>
      </c>
      <c r="N40" s="7" t="inlineStr">
        <is>
          <t>Aprobado</t>
        </is>
      </c>
      <c r="O40" s="5" t="inlineStr">
        <is>
          <t>2026-10-27</t>
        </is>
      </c>
      <c r="P40" s="5" t="inlineStr">
        <is>
          <t>docs/evidencia-final-equipo/vitest-frontend.json</t>
        </is>
      </c>
      <c r="Q40" s="5" t="inlineStr">
        <is>
          <t>-</t>
        </is>
      </c>
    </row>
    <row r="41">
      <c r="A41" s="5" t="inlineStr">
        <is>
          <t>Tomás Henao</t>
        </is>
      </c>
      <c r="B41" s="5" t="inlineStr">
        <is>
          <t>Usuarios</t>
        </is>
      </c>
      <c r="C41" s="5" t="inlineStr">
        <is>
          <t>RF-01</t>
        </is>
      </c>
      <c r="D41" s="5" t="inlineStr">
        <is>
          <t>Registro de usuario</t>
        </is>
      </c>
      <c r="E41" s="5" t="inlineStr">
        <is>
          <t>Vitest frontend · unitaria</t>
        </is>
      </c>
      <c r="F41" s="5" t="inlineStr">
        <is>
          <t>VT-useRegister.test</t>
        </is>
      </c>
      <c r="G41" s="5" t="inlineStr">
        <is>
          <t>useRegister.test.ts (2 pruebas)</t>
        </is>
      </c>
      <c r="H41" s="5" t="inlineStr">
        <is>
          <t>Unitaria / Integración</t>
        </is>
      </c>
      <c r="I41" s="5" t="inlineStr">
        <is>
          <t>Funcional</t>
        </is>
      </c>
      <c r="J41" s="5" t="inlineStr">
        <is>
          <t>Vitest frontend</t>
        </is>
      </c>
      <c r="K41" s="5" t="inlineStr">
        <is>
          <t>frontend/src/tests/unit/auth/useRegister.test.ts</t>
        </is>
      </c>
      <c r="L41" s="5" t="inlineStr">
        <is>
          <t>Todas las pruebas del archivo pasan</t>
        </is>
      </c>
      <c r="M41" s="5" t="inlineStr">
        <is>
          <t>2/2 pasan</t>
        </is>
      </c>
      <c r="N41" s="7" t="inlineStr">
        <is>
          <t>Aprobado</t>
        </is>
      </c>
      <c r="O41" s="5" t="inlineStr">
        <is>
          <t>2026-10-27</t>
        </is>
      </c>
      <c r="P41" s="5" t="inlineStr">
        <is>
          <t>docs/evidencia-final-equipo/vitest-frontend.json</t>
        </is>
      </c>
      <c r="Q41" s="5" t="inlineStr">
        <is>
          <t>-</t>
        </is>
      </c>
    </row>
    <row r="42">
      <c r="A42" s="5" t="inlineStr">
        <is>
          <t>Tomás Henao</t>
        </is>
      </c>
      <c r="B42" s="5" t="inlineStr">
        <is>
          <t>Usuarios</t>
        </is>
      </c>
      <c r="C42" s="5" t="inlineStr">
        <is>
          <t>RF-01</t>
        </is>
      </c>
      <c r="D42" s="5" t="inlineStr">
        <is>
          <t>Registro de usuario</t>
        </is>
      </c>
      <c r="E42" s="5" t="inlineStr">
        <is>
          <t>Vitest frontend · unitaria</t>
        </is>
      </c>
      <c r="F42" s="5" t="inlineStr">
        <is>
          <t>VT-useRegister.test</t>
        </is>
      </c>
      <c r="G42" s="5" t="inlineStr">
        <is>
          <t>useRegister.test.ts (2 pruebas)</t>
        </is>
      </c>
      <c r="H42" s="5" t="inlineStr">
        <is>
          <t>Unitaria / Integración</t>
        </is>
      </c>
      <c r="I42" s="5" t="inlineStr">
        <is>
          <t>Funcional</t>
        </is>
      </c>
      <c r="J42" s="5" t="inlineStr">
        <is>
          <t>Vitest frontend</t>
        </is>
      </c>
      <c r="K42" s="5" t="inlineStr">
        <is>
          <t>frontend/src/tests/unit/hooks/useRegister.test.ts</t>
        </is>
      </c>
      <c r="L42" s="5" t="inlineStr">
        <is>
          <t>Todas las pruebas del archivo pasan</t>
        </is>
      </c>
      <c r="M42" s="5" t="inlineStr">
        <is>
          <t>2/2 pasan</t>
        </is>
      </c>
      <c r="N42" s="7" t="inlineStr">
        <is>
          <t>Aprobado</t>
        </is>
      </c>
      <c r="O42" s="5" t="inlineStr">
        <is>
          <t>2026-10-27</t>
        </is>
      </c>
      <c r="P42" s="5" t="inlineStr">
        <is>
          <t>docs/evidencia-final-equipo/vitest-frontend.json</t>
        </is>
      </c>
      <c r="Q42" s="5" t="inlineStr">
        <is>
          <t>-</t>
        </is>
      </c>
    </row>
    <row r="43">
      <c r="A43" s="5" t="inlineStr">
        <is>
          <t>Tomás Henao</t>
        </is>
      </c>
      <c r="B43" s="5" t="inlineStr">
        <is>
          <t>Usuarios</t>
        </is>
      </c>
      <c r="C43" s="5" t="inlineStr">
        <is>
          <t>RF-04</t>
        </is>
      </c>
      <c r="D43" s="5" t="inlineStr">
        <is>
          <t>Autenticación de usuario</t>
        </is>
      </c>
      <c r="E43" s="5" t="inlineStr">
        <is>
          <t>ESC065</t>
        </is>
      </c>
      <c r="F43" s="5" t="inlineStr">
        <is>
          <t>TC225</t>
        </is>
      </c>
      <c r="G43" s="5" t="inlineStr">
        <is>
          <t>Credenciales válidas</t>
        </is>
      </c>
      <c r="H43" s="5" t="inlineStr">
        <is>
          <t>Sistema</t>
        </is>
      </c>
      <c r="I43" s="5" t="inlineStr">
        <is>
          <t>Funcional</t>
        </is>
      </c>
      <c r="J43" s="5" t="inlineStr">
        <is>
          <t>Casos del Excel (diseño + ejecución manual)</t>
        </is>
      </c>
      <c r="K43" s="5" t="inlineStr">
        <is>
          <t>Casos y Escenarios FuBank.xlsx</t>
        </is>
      </c>
      <c r="L43" s="5" t="inlineStr">
        <is>
          <t>Usuario registrado ingresa correo electrónico y contraseña correctos.</t>
        </is>
      </c>
      <c r="M43" s="5" t="inlineStr">
        <is>
          <t>Sin resultado en el Excel</t>
        </is>
      </c>
      <c r="N43" s="6" t="inlineStr">
        <is>
          <t>Sin resultado registrado</t>
        </is>
      </c>
      <c r="O43" s="5" t="inlineStr">
        <is>
          <t>-</t>
        </is>
      </c>
      <c r="P43" s="5" t="inlineStr">
        <is>
          <t>Excel (hoja Casos de Prueba Detallado)</t>
        </is>
      </c>
      <c r="Q43" s="5" t="inlineStr">
        <is>
          <t>N/A</t>
        </is>
      </c>
    </row>
    <row r="44">
      <c r="A44" s="5" t="inlineStr">
        <is>
          <t>Tomás Henao</t>
        </is>
      </c>
      <c r="B44" s="5" t="inlineStr">
        <is>
          <t>Usuarios</t>
        </is>
      </c>
      <c r="C44" s="5" t="inlineStr">
        <is>
          <t>RF-04</t>
        </is>
      </c>
      <c r="D44" s="5" t="inlineStr">
        <is>
          <t>Autenticación de usuario</t>
        </is>
      </c>
      <c r="E44" s="5" t="inlineStr">
        <is>
          <t>ESC065</t>
        </is>
      </c>
      <c r="F44" s="5" t="inlineStr">
        <is>
          <t>TC226</t>
        </is>
      </c>
      <c r="G44" s="5" t="inlineStr">
        <is>
          <t>Contraseña incorrecta</t>
        </is>
      </c>
      <c r="H44" s="5" t="inlineStr">
        <is>
          <t>Sistema</t>
        </is>
      </c>
      <c r="I44" s="5" t="inlineStr">
        <is>
          <t>Funcional</t>
        </is>
      </c>
      <c r="J44" s="5" t="inlineStr">
        <is>
          <t>Casos del Excel (diseño + ejecución manual)</t>
        </is>
      </c>
      <c r="K44" s="5" t="inlineStr">
        <is>
          <t>Casos y Escenarios FuBank.xlsx</t>
        </is>
      </c>
      <c r="L44" s="5" t="inlineStr">
        <is>
          <t>Usuario registrado ingresa un correo válido acompañado de una contraseña incorrecta.</t>
        </is>
      </c>
      <c r="M44" s="5" t="inlineStr">
        <is>
          <t>Sin resultado en el Excel</t>
        </is>
      </c>
      <c r="N44" s="6" t="inlineStr">
        <is>
          <t>Sin resultado registrado</t>
        </is>
      </c>
      <c r="O44" s="5" t="inlineStr">
        <is>
          <t>-</t>
        </is>
      </c>
      <c r="P44" s="5" t="inlineStr">
        <is>
          <t>Excel (hoja Casos de Prueba Detallado)</t>
        </is>
      </c>
      <c r="Q44" s="5" t="inlineStr">
        <is>
          <t>N/A</t>
        </is>
      </c>
    </row>
    <row r="45">
      <c r="A45" s="5" t="inlineStr">
        <is>
          <t>Tomás Henao</t>
        </is>
      </c>
      <c r="B45" s="5" t="inlineStr">
        <is>
          <t>Usuarios</t>
        </is>
      </c>
      <c r="C45" s="5" t="inlineStr">
        <is>
          <t>RF-04</t>
        </is>
      </c>
      <c r="D45" s="5" t="inlineStr">
        <is>
          <t>Autenticación de usuario</t>
        </is>
      </c>
      <c r="E45" s="5" t="inlineStr">
        <is>
          <t>ESC065</t>
        </is>
      </c>
      <c r="F45" s="5" t="inlineStr">
        <is>
          <t>TC227</t>
        </is>
      </c>
      <c r="G45" s="5" t="inlineStr">
        <is>
          <t>Correo no registrado</t>
        </is>
      </c>
      <c r="H45" s="5" t="inlineStr">
        <is>
          <t>Sistema</t>
        </is>
      </c>
      <c r="I45" s="5" t="inlineStr">
        <is>
          <t>Funcional</t>
        </is>
      </c>
      <c r="J45" s="5" t="inlineStr">
        <is>
          <t>Casos del Excel (diseño + ejecución manual)</t>
        </is>
      </c>
      <c r="K45" s="5" t="inlineStr">
        <is>
          <t>Casos y Escenarios FuBank.xlsx</t>
        </is>
      </c>
      <c r="L45" s="5" t="inlineStr">
        <is>
          <t>Usuario intenta iniciar sesión utilizando un correo electrónico que no existe en el sistema.</t>
        </is>
      </c>
      <c r="M45" s="5" t="inlineStr">
        <is>
          <t>Sin resultado en el Excel</t>
        </is>
      </c>
      <c r="N45" s="6" t="inlineStr">
        <is>
          <t>Sin resultado registrado</t>
        </is>
      </c>
      <c r="O45" s="5" t="inlineStr">
        <is>
          <t>-</t>
        </is>
      </c>
      <c r="P45" s="5" t="inlineStr">
        <is>
          <t>Excel (hoja Casos de Prueba Detallado)</t>
        </is>
      </c>
      <c r="Q45" s="5" t="inlineStr">
        <is>
          <t>N/A</t>
        </is>
      </c>
    </row>
    <row r="46">
      <c r="A46" s="5" t="inlineStr">
        <is>
          <t>Tomás Henao</t>
        </is>
      </c>
      <c r="B46" s="5" t="inlineStr">
        <is>
          <t>Usuarios</t>
        </is>
      </c>
      <c r="C46" s="5" t="inlineStr">
        <is>
          <t>RF-04</t>
        </is>
      </c>
      <c r="D46" s="5" t="inlineStr">
        <is>
          <t>Autenticación de usuario</t>
        </is>
      </c>
      <c r="E46" s="5" t="inlineStr">
        <is>
          <t>ESC065</t>
        </is>
      </c>
      <c r="F46" s="5" t="inlineStr">
        <is>
          <t>TC228</t>
        </is>
      </c>
      <c r="G46" s="5" t="inlineStr">
        <is>
          <t>Correo y contraseña incorrectos</t>
        </is>
      </c>
      <c r="H46" s="5" t="inlineStr">
        <is>
          <t>Sistema</t>
        </is>
      </c>
      <c r="I46" s="5" t="inlineStr">
        <is>
          <t>Funcional</t>
        </is>
      </c>
      <c r="J46" s="5" t="inlineStr">
        <is>
          <t>Casos del Excel (diseño + ejecución manual)</t>
        </is>
      </c>
      <c r="K46" s="5" t="inlineStr">
        <is>
          <t>Casos y Escenarios FuBank.xlsx</t>
        </is>
      </c>
      <c r="L46" s="5" t="inlineStr">
        <is>
          <t>Usuario ingresa un correo no registrado y una contraseña incorrecta simultáneamente.</t>
        </is>
      </c>
      <c r="M46" s="5" t="inlineStr">
        <is>
          <t>Sin resultado en el Excel</t>
        </is>
      </c>
      <c r="N46" s="6" t="inlineStr">
        <is>
          <t>Sin resultado registrado</t>
        </is>
      </c>
      <c r="O46" s="5" t="inlineStr">
        <is>
          <t>-</t>
        </is>
      </c>
      <c r="P46" s="5" t="inlineStr">
        <is>
          <t>Excel (hoja Casos de Prueba Detallado)</t>
        </is>
      </c>
      <c r="Q46" s="5" t="inlineStr">
        <is>
          <t>N/A</t>
        </is>
      </c>
    </row>
    <row r="47">
      <c r="A47" s="5" t="inlineStr">
        <is>
          <t>Tomás Henao</t>
        </is>
      </c>
      <c r="B47" s="5" t="inlineStr">
        <is>
          <t>Usuarios</t>
        </is>
      </c>
      <c r="C47" s="5" t="inlineStr">
        <is>
          <t>RF-04</t>
        </is>
      </c>
      <c r="D47" s="5" t="inlineStr">
        <is>
          <t>Autenticación de usuario</t>
        </is>
      </c>
      <c r="E47" s="5" t="inlineStr">
        <is>
          <t>ESC065</t>
        </is>
      </c>
      <c r="F47" s="5" t="inlineStr">
        <is>
          <t>TC229</t>
        </is>
      </c>
      <c r="G47" s="5" t="inlineStr">
        <is>
          <t>Contraseña con diferencia de mayúsculas</t>
        </is>
      </c>
      <c r="H47" s="5" t="inlineStr">
        <is>
          <t>Sistema</t>
        </is>
      </c>
      <c r="I47" s="5" t="inlineStr">
        <is>
          <t>Funcional</t>
        </is>
      </c>
      <c r="J47" s="5" t="inlineStr">
        <is>
          <t>Casos del Excel (diseño + ejecución manual)</t>
        </is>
      </c>
      <c r="K47" s="5" t="inlineStr">
        <is>
          <t>Casos y Escenarios FuBank.xlsx</t>
        </is>
      </c>
      <c r="L47" s="5" t="inlineStr">
        <is>
          <t>Usuario registrado ingresa correctamente el correo pero modifica mayúsculas y minúsculas de su contraseña.</t>
        </is>
      </c>
      <c r="M47" s="5" t="inlineStr">
        <is>
          <t>Sin resultado en el Excel</t>
        </is>
      </c>
      <c r="N47" s="6" t="inlineStr">
        <is>
          <t>Sin resultado registrado</t>
        </is>
      </c>
      <c r="O47" s="5" t="inlineStr">
        <is>
          <t>-</t>
        </is>
      </c>
      <c r="P47" s="5" t="inlineStr">
        <is>
          <t>Excel (hoja Casos de Prueba Detallado)</t>
        </is>
      </c>
      <c r="Q47" s="5" t="inlineStr">
        <is>
          <t>N/A</t>
        </is>
      </c>
    </row>
    <row r="48">
      <c r="A48" s="5" t="inlineStr">
        <is>
          <t>Tomás Henao</t>
        </is>
      </c>
      <c r="B48" s="5" t="inlineStr">
        <is>
          <t>Usuarios</t>
        </is>
      </c>
      <c r="C48" s="5" t="inlineStr">
        <is>
          <t>RF-04</t>
        </is>
      </c>
      <c r="D48" s="5" t="inlineStr">
        <is>
          <t>Autenticación de usuario</t>
        </is>
      </c>
      <c r="E48" s="5" t="inlineStr">
        <is>
          <t>ESC065</t>
        </is>
      </c>
      <c r="F48" s="5" t="inlineStr">
        <is>
          <t>TC230</t>
        </is>
      </c>
      <c r="G48" s="5" t="inlineStr">
        <is>
          <t>Correo con diferencia de mayúsculas</t>
        </is>
      </c>
      <c r="H48" s="5" t="inlineStr">
        <is>
          <t>Sistema</t>
        </is>
      </c>
      <c r="I48" s="5" t="inlineStr">
        <is>
          <t>Funcional</t>
        </is>
      </c>
      <c r="J48" s="5" t="inlineStr">
        <is>
          <t>Casos del Excel (diseño + ejecución manual)</t>
        </is>
      </c>
      <c r="K48" s="5" t="inlineStr">
        <is>
          <t>Casos y Escenarios FuBank.xlsx</t>
        </is>
      </c>
      <c r="L48" s="5" t="inlineStr">
        <is>
          <t>Usuario ingresa el correo registrado utilizando una combinación diferente de mayúsculas y minúsculas.</t>
        </is>
      </c>
      <c r="M48" s="5" t="inlineStr">
        <is>
          <t>Sin resultado en el Excel</t>
        </is>
      </c>
      <c r="N48" s="6" t="inlineStr">
        <is>
          <t>Sin resultado registrado</t>
        </is>
      </c>
      <c r="O48" s="5" t="inlineStr">
        <is>
          <t>-</t>
        </is>
      </c>
      <c r="P48" s="5" t="inlineStr">
        <is>
          <t>Excel (hoja Casos de Prueba Detallado)</t>
        </is>
      </c>
      <c r="Q48" s="5" t="inlineStr">
        <is>
          <t>N/A</t>
        </is>
      </c>
    </row>
    <row r="49">
      <c r="A49" s="5" t="inlineStr">
        <is>
          <t>Tomás Henao</t>
        </is>
      </c>
      <c r="B49" s="5" t="inlineStr">
        <is>
          <t>Usuarios</t>
        </is>
      </c>
      <c r="C49" s="5" t="inlineStr">
        <is>
          <t>RF-04</t>
        </is>
      </c>
      <c r="D49" s="5" t="inlineStr">
        <is>
          <t>Autenticación de usuario</t>
        </is>
      </c>
      <c r="E49" s="5" t="inlineStr">
        <is>
          <t>ESC066</t>
        </is>
      </c>
      <c r="F49" s="5" t="inlineStr">
        <is>
          <t>TC231</t>
        </is>
      </c>
      <c r="G49" s="5" t="inlineStr">
        <is>
          <t>Correo vacío</t>
        </is>
      </c>
      <c r="H49" s="5" t="inlineStr">
        <is>
          <t>Sistema</t>
        </is>
      </c>
      <c r="I49" s="5" t="inlineStr">
        <is>
          <t>Funcional</t>
        </is>
      </c>
      <c r="J49" s="5" t="inlineStr">
        <is>
          <t>Casos del Excel (diseño + ejecución manual)</t>
        </is>
      </c>
      <c r="K49" s="5" t="inlineStr">
        <is>
          <t>Casos y Escenarios FuBank.xlsx</t>
        </is>
      </c>
      <c r="L49" s="5" t="inlineStr">
        <is>
          <t>Usuario intenta iniciar sesión dejando vacío el campo de correo electrónico.</t>
        </is>
      </c>
      <c r="M49" s="5" t="inlineStr">
        <is>
          <t>Sin resultado en el Excel</t>
        </is>
      </c>
      <c r="N49" s="6" t="inlineStr">
        <is>
          <t>Sin resultado registrado</t>
        </is>
      </c>
      <c r="O49" s="5" t="inlineStr">
        <is>
          <t>-</t>
        </is>
      </c>
      <c r="P49" s="5" t="inlineStr">
        <is>
          <t>Excel (hoja Casos de Prueba Detallado)</t>
        </is>
      </c>
      <c r="Q49" s="5" t="inlineStr">
        <is>
          <t>N/A</t>
        </is>
      </c>
    </row>
    <row r="50">
      <c r="A50" s="5" t="inlineStr">
        <is>
          <t>Tomás Henao</t>
        </is>
      </c>
      <c r="B50" s="5" t="inlineStr">
        <is>
          <t>Usuarios</t>
        </is>
      </c>
      <c r="C50" s="5" t="inlineStr">
        <is>
          <t>RF-04</t>
        </is>
      </c>
      <c r="D50" s="5" t="inlineStr">
        <is>
          <t>Autenticación de usuario</t>
        </is>
      </c>
      <c r="E50" s="5" t="inlineStr">
        <is>
          <t>ESC066</t>
        </is>
      </c>
      <c r="F50" s="5" t="inlineStr">
        <is>
          <t>TC232</t>
        </is>
      </c>
      <c r="G50" s="5" t="inlineStr">
        <is>
          <t>Contraseña vacía</t>
        </is>
      </c>
      <c r="H50" s="5" t="inlineStr">
        <is>
          <t>Sistema</t>
        </is>
      </c>
      <c r="I50" s="5" t="inlineStr">
        <is>
          <t>Funcional</t>
        </is>
      </c>
      <c r="J50" s="5" t="inlineStr">
        <is>
          <t>Casos del Excel (diseño + ejecución manual)</t>
        </is>
      </c>
      <c r="K50" s="5" t="inlineStr">
        <is>
          <t>Casos y Escenarios FuBank.xlsx</t>
        </is>
      </c>
      <c r="L50" s="5" t="inlineStr">
        <is>
          <t>Usuario intenta iniciar sesión dejando vacío el campo de contraseña.</t>
        </is>
      </c>
      <c r="M50" s="5" t="inlineStr">
        <is>
          <t>Sin resultado en el Excel</t>
        </is>
      </c>
      <c r="N50" s="6" t="inlineStr">
        <is>
          <t>Sin resultado registrado</t>
        </is>
      </c>
      <c r="O50" s="5" t="inlineStr">
        <is>
          <t>-</t>
        </is>
      </c>
      <c r="P50" s="5" t="inlineStr">
        <is>
          <t>Excel (hoja Casos de Prueba Detallado)</t>
        </is>
      </c>
      <c r="Q50" s="5" t="inlineStr">
        <is>
          <t>N/A</t>
        </is>
      </c>
    </row>
    <row r="51">
      <c r="A51" s="5" t="inlineStr">
        <is>
          <t>Tomás Henao</t>
        </is>
      </c>
      <c r="B51" s="5" t="inlineStr">
        <is>
          <t>Usuarios</t>
        </is>
      </c>
      <c r="C51" s="5" t="inlineStr">
        <is>
          <t>RF-04</t>
        </is>
      </c>
      <c r="D51" s="5" t="inlineStr">
        <is>
          <t>Autenticación de usuario</t>
        </is>
      </c>
      <c r="E51" s="5" t="inlineStr">
        <is>
          <t>ESC066</t>
        </is>
      </c>
      <c r="F51" s="5" t="inlineStr">
        <is>
          <t>TC233</t>
        </is>
      </c>
      <c r="G51" s="5" t="inlineStr">
        <is>
          <t>Ambos campos vacíos</t>
        </is>
      </c>
      <c r="H51" s="5" t="inlineStr">
        <is>
          <t>Sistema</t>
        </is>
      </c>
      <c r="I51" s="5" t="inlineStr">
        <is>
          <t>Funcional</t>
        </is>
      </c>
      <c r="J51" s="5" t="inlineStr">
        <is>
          <t>Casos del Excel (diseño + ejecución manual)</t>
        </is>
      </c>
      <c r="K51" s="5" t="inlineStr">
        <is>
          <t>Casos y Escenarios FuBank.xlsx</t>
        </is>
      </c>
      <c r="L51" s="5" t="inlineStr">
        <is>
          <t>Usuario intenta enviar el formulario de inicio de sesión sin ingresar ningún dato.</t>
        </is>
      </c>
      <c r="M51" s="5" t="inlineStr">
        <is>
          <t>Sin resultado en el Excel</t>
        </is>
      </c>
      <c r="N51" s="6" t="inlineStr">
        <is>
          <t>Sin resultado registrado</t>
        </is>
      </c>
      <c r="O51" s="5" t="inlineStr">
        <is>
          <t>-</t>
        </is>
      </c>
      <c r="P51" s="5" t="inlineStr">
        <is>
          <t>Excel (hoja Casos de Prueba Detallado)</t>
        </is>
      </c>
      <c r="Q51" s="5" t="inlineStr">
        <is>
          <t>N/A</t>
        </is>
      </c>
    </row>
    <row r="52">
      <c r="A52" s="5" t="inlineStr">
        <is>
          <t>Tomás Henao</t>
        </is>
      </c>
      <c r="B52" s="5" t="inlineStr">
        <is>
          <t>Usuarios</t>
        </is>
      </c>
      <c r="C52" s="5" t="inlineStr">
        <is>
          <t>RF-04</t>
        </is>
      </c>
      <c r="D52" s="5" t="inlineStr">
        <is>
          <t>Autenticación de usuario</t>
        </is>
      </c>
      <c r="E52" s="5" t="inlineStr">
        <is>
          <t>ESC066</t>
        </is>
      </c>
      <c r="F52" s="5" t="inlineStr">
        <is>
          <t>TC234</t>
        </is>
      </c>
      <c r="G52" s="5" t="inlineStr">
        <is>
          <t>Correo con formato inválido</t>
        </is>
      </c>
      <c r="H52" s="5" t="inlineStr">
        <is>
          <t>Sistema</t>
        </is>
      </c>
      <c r="I52" s="5" t="inlineStr">
        <is>
          <t>Funcional</t>
        </is>
      </c>
      <c r="J52" s="5" t="inlineStr">
        <is>
          <t>Casos del Excel (diseño + ejecución manual)</t>
        </is>
      </c>
      <c r="K52" s="5" t="inlineStr">
        <is>
          <t>Casos y Escenarios FuBank.xlsx</t>
        </is>
      </c>
      <c r="L52" s="5" t="inlineStr">
        <is>
          <t>Usuario ingresa un valor que no cumple con el formato esperado de correo electrónico.</t>
        </is>
      </c>
      <c r="M52" s="5" t="inlineStr">
        <is>
          <t>Sin resultado en el Excel</t>
        </is>
      </c>
      <c r="N52" s="6" t="inlineStr">
        <is>
          <t>Sin resultado registrado</t>
        </is>
      </c>
      <c r="O52" s="5" t="inlineStr">
        <is>
          <t>-</t>
        </is>
      </c>
      <c r="P52" s="5" t="inlineStr">
        <is>
          <t>Excel (hoja Casos de Prueba Detallado)</t>
        </is>
      </c>
      <c r="Q52" s="5" t="inlineStr">
        <is>
          <t>N/A</t>
        </is>
      </c>
    </row>
    <row r="53">
      <c r="A53" s="5" t="inlineStr">
        <is>
          <t>Tomás Henao</t>
        </is>
      </c>
      <c r="B53" s="5" t="inlineStr">
        <is>
          <t>Usuarios</t>
        </is>
      </c>
      <c r="C53" s="5" t="inlineStr">
        <is>
          <t>RF-04</t>
        </is>
      </c>
      <c r="D53" s="5" t="inlineStr">
        <is>
          <t>Autenticación de usuario</t>
        </is>
      </c>
      <c r="E53" s="5" t="inlineStr">
        <is>
          <t>ESC066</t>
        </is>
      </c>
      <c r="F53" s="5" t="inlineStr">
        <is>
          <t>TC235</t>
        </is>
      </c>
      <c r="G53" s="5" t="inlineStr">
        <is>
          <t>Espacios en correo</t>
        </is>
      </c>
      <c r="H53" s="5" t="inlineStr">
        <is>
          <t>Sistema</t>
        </is>
      </c>
      <c r="I53" s="5" t="inlineStr">
        <is>
          <t>Funcional</t>
        </is>
      </c>
      <c r="J53" s="5" t="inlineStr">
        <is>
          <t>Casos del Excel (diseño + ejecución manual)</t>
        </is>
      </c>
      <c r="K53" s="5" t="inlineStr">
        <is>
          <t>Casos y Escenarios FuBank.xlsx</t>
        </is>
      </c>
      <c r="L53" s="5" t="inlineStr">
        <is>
          <t>Usuario ingresa espacios antes, después o dentro del correo electrónico registrado.</t>
        </is>
      </c>
      <c r="M53" s="5" t="inlineStr">
        <is>
          <t>Sin resultado en el Excel</t>
        </is>
      </c>
      <c r="N53" s="6" t="inlineStr">
        <is>
          <t>Sin resultado registrado</t>
        </is>
      </c>
      <c r="O53" s="5" t="inlineStr">
        <is>
          <t>-</t>
        </is>
      </c>
      <c r="P53" s="5" t="inlineStr">
        <is>
          <t>Excel (hoja Casos de Prueba Detallado)</t>
        </is>
      </c>
      <c r="Q53" s="5" t="inlineStr">
        <is>
          <t>N/A</t>
        </is>
      </c>
    </row>
    <row r="54">
      <c r="A54" s="5" t="inlineStr">
        <is>
          <t>Tomás Henao</t>
        </is>
      </c>
      <c r="B54" s="5" t="inlineStr">
        <is>
          <t>Usuarios</t>
        </is>
      </c>
      <c r="C54" s="5" t="inlineStr">
        <is>
          <t>RF-04</t>
        </is>
      </c>
      <c r="D54" s="5" t="inlineStr">
        <is>
          <t>Autenticación de usuario</t>
        </is>
      </c>
      <c r="E54" s="5" t="inlineStr">
        <is>
          <t>ESC066</t>
        </is>
      </c>
      <c r="F54" s="5" t="inlineStr">
        <is>
          <t>TC236</t>
        </is>
      </c>
      <c r="G54" s="5" t="inlineStr">
        <is>
          <t>Espacios en contraseña</t>
        </is>
      </c>
      <c r="H54" s="5" t="inlineStr">
        <is>
          <t>Sistema</t>
        </is>
      </c>
      <c r="I54" s="5" t="inlineStr">
        <is>
          <t>Funcional</t>
        </is>
      </c>
      <c r="J54" s="5" t="inlineStr">
        <is>
          <t>Casos del Excel (diseño + ejecución manual)</t>
        </is>
      </c>
      <c r="K54" s="5" t="inlineStr">
        <is>
          <t>Casos y Escenarios FuBank.xlsx</t>
        </is>
      </c>
      <c r="L54" s="5" t="inlineStr">
        <is>
          <t>Usuario ingresa la contraseña correcta agregando espacios al inicio o al final.</t>
        </is>
      </c>
      <c r="M54" s="5" t="inlineStr">
        <is>
          <t>Sin resultado en el Excel</t>
        </is>
      </c>
      <c r="N54" s="6" t="inlineStr">
        <is>
          <t>Sin resultado registrado</t>
        </is>
      </c>
      <c r="O54" s="5" t="inlineStr">
        <is>
          <t>-</t>
        </is>
      </c>
      <c r="P54" s="5" t="inlineStr">
        <is>
          <t>Excel (hoja Casos de Prueba Detallado)</t>
        </is>
      </c>
      <c r="Q54" s="5" t="inlineStr">
        <is>
          <t>N/A</t>
        </is>
      </c>
    </row>
    <row r="55">
      <c r="A55" s="5" t="inlineStr">
        <is>
          <t>Tomás Henao</t>
        </is>
      </c>
      <c r="B55" s="5" t="inlineStr">
        <is>
          <t>Usuarios</t>
        </is>
      </c>
      <c r="C55" s="5" t="inlineStr">
        <is>
          <t>RF-04</t>
        </is>
      </c>
      <c r="D55" s="5" t="inlineStr">
        <is>
          <t>Autenticación de usuario</t>
        </is>
      </c>
      <c r="E55" s="5" t="inlineStr">
        <is>
          <t>ESC067</t>
        </is>
      </c>
      <c r="F55" s="5" t="inlineStr">
        <is>
          <t>TC237</t>
        </is>
      </c>
      <c r="G55" s="5" t="inlineStr">
        <is>
          <t>Correo extremadamente largo</t>
        </is>
      </c>
      <c r="H55" s="5" t="inlineStr">
        <is>
          <t>Sistema</t>
        </is>
      </c>
      <c r="I55" s="5" t="inlineStr">
        <is>
          <t>Funcional</t>
        </is>
      </c>
      <c r="J55" s="5" t="inlineStr">
        <is>
          <t>Casos del Excel (diseño + ejecución manual)</t>
        </is>
      </c>
      <c r="K55" s="5" t="inlineStr">
        <is>
          <t>Casos y Escenarios FuBank.xlsx</t>
        </is>
      </c>
      <c r="L55" s="5" t="inlineStr">
        <is>
          <t>Usuario ingresa un correo que supera ampliamente la longitud esperada por el sistema.</t>
        </is>
      </c>
      <c r="M55" s="5" t="inlineStr">
        <is>
          <t>Sin resultado en el Excel</t>
        </is>
      </c>
      <c r="N55" s="6" t="inlineStr">
        <is>
          <t>Sin resultado registrado</t>
        </is>
      </c>
      <c r="O55" s="5" t="inlineStr">
        <is>
          <t>-</t>
        </is>
      </c>
      <c r="P55" s="5" t="inlineStr">
        <is>
          <t>Excel (hoja Casos de Prueba Detallado)</t>
        </is>
      </c>
      <c r="Q55" s="5" t="inlineStr">
        <is>
          <t>N/A</t>
        </is>
      </c>
    </row>
    <row r="56">
      <c r="A56" s="5" t="inlineStr">
        <is>
          <t>Tomás Henao</t>
        </is>
      </c>
      <c r="B56" s="5" t="inlineStr">
        <is>
          <t>Usuarios</t>
        </is>
      </c>
      <c r="C56" s="5" t="inlineStr">
        <is>
          <t>RF-04</t>
        </is>
      </c>
      <c r="D56" s="5" t="inlineStr">
        <is>
          <t>Autenticación de usuario</t>
        </is>
      </c>
      <c r="E56" s="5" t="inlineStr">
        <is>
          <t>ESC067</t>
        </is>
      </c>
      <c r="F56" s="5" t="inlineStr">
        <is>
          <t>TC238</t>
        </is>
      </c>
      <c r="G56" s="5" t="inlineStr">
        <is>
          <t>Contraseña extremadamente larga</t>
        </is>
      </c>
      <c r="H56" s="5" t="inlineStr">
        <is>
          <t>Sistema</t>
        </is>
      </c>
      <c r="I56" s="5" t="inlineStr">
        <is>
          <t>Funcional</t>
        </is>
      </c>
      <c r="J56" s="5" t="inlineStr">
        <is>
          <t>Casos del Excel (diseño + ejecución manual)</t>
        </is>
      </c>
      <c r="K56" s="5" t="inlineStr">
        <is>
          <t>Casos y Escenarios FuBank.xlsx</t>
        </is>
      </c>
      <c r="L56" s="5" t="inlineStr">
        <is>
          <t>Usuario ingresa una contraseña con una cantidad excesiva de caracteres.</t>
        </is>
      </c>
      <c r="M56" s="5" t="inlineStr">
        <is>
          <t>Sin resultado en el Excel</t>
        </is>
      </c>
      <c r="N56" s="6" t="inlineStr">
        <is>
          <t>Sin resultado registrado</t>
        </is>
      </c>
      <c r="O56" s="5" t="inlineStr">
        <is>
          <t>-</t>
        </is>
      </c>
      <c r="P56" s="5" t="inlineStr">
        <is>
          <t>Excel (hoja Casos de Prueba Detallado)</t>
        </is>
      </c>
      <c r="Q56" s="5" t="inlineStr">
        <is>
          <t>N/A</t>
        </is>
      </c>
    </row>
    <row r="57">
      <c r="A57" s="5" t="inlineStr">
        <is>
          <t>Tomás Henao</t>
        </is>
      </c>
      <c r="B57" s="5" t="inlineStr">
        <is>
          <t>Usuarios</t>
        </is>
      </c>
      <c r="C57" s="5" t="inlineStr">
        <is>
          <t>RF-04</t>
        </is>
      </c>
      <c r="D57" s="5" t="inlineStr">
        <is>
          <t>Autenticación de usuario</t>
        </is>
      </c>
      <c r="E57" s="5" t="inlineStr">
        <is>
          <t>ESC067</t>
        </is>
      </c>
      <c r="F57" s="5" t="inlineStr">
        <is>
          <t>TC239</t>
        </is>
      </c>
      <c r="G57" s="5" t="inlineStr">
        <is>
          <t>Caracteres especiales</t>
        </is>
      </c>
      <c r="H57" s="5" t="inlineStr">
        <is>
          <t>Sistema</t>
        </is>
      </c>
      <c r="I57" s="5" t="inlineStr">
        <is>
          <t>Funcional</t>
        </is>
      </c>
      <c r="J57" s="5" t="inlineStr">
        <is>
          <t>Casos del Excel (diseño + ejecución manual)</t>
        </is>
      </c>
      <c r="K57" s="5" t="inlineStr">
        <is>
          <t>Casos y Escenarios FuBank.xlsx</t>
        </is>
      </c>
      <c r="L57" s="5" t="inlineStr">
        <is>
          <t>Usuario ingresa caracteres especiales en el correo y contraseña.</t>
        </is>
      </c>
      <c r="M57" s="5" t="inlineStr">
        <is>
          <t>Sin resultado en el Excel</t>
        </is>
      </c>
      <c r="N57" s="6" t="inlineStr">
        <is>
          <t>Sin resultado registrado</t>
        </is>
      </c>
      <c r="O57" s="5" t="inlineStr">
        <is>
          <t>-</t>
        </is>
      </c>
      <c r="P57" s="5" t="inlineStr">
        <is>
          <t>Excel (hoja Casos de Prueba Detallado)</t>
        </is>
      </c>
      <c r="Q57" s="5" t="inlineStr">
        <is>
          <t>N/A</t>
        </is>
      </c>
    </row>
    <row r="58">
      <c r="A58" s="5" t="inlineStr">
        <is>
          <t>Tomás Henao</t>
        </is>
      </c>
      <c r="B58" s="5" t="inlineStr">
        <is>
          <t>Usuarios</t>
        </is>
      </c>
      <c r="C58" s="5" t="inlineStr">
        <is>
          <t>RF-04</t>
        </is>
      </c>
      <c r="D58" s="5" t="inlineStr">
        <is>
          <t>Autenticación de usuario</t>
        </is>
      </c>
      <c r="E58" s="5" t="inlineStr">
        <is>
          <t>ESC067</t>
        </is>
      </c>
      <c r="F58" s="5" t="inlineStr">
        <is>
          <t>TC240</t>
        </is>
      </c>
      <c r="G58" s="5" t="inlineStr">
        <is>
          <t>Caracteres Unicode</t>
        </is>
      </c>
      <c r="H58" s="5" t="inlineStr">
        <is>
          <t>Sistema</t>
        </is>
      </c>
      <c r="I58" s="5" t="inlineStr">
        <is>
          <t>Funcional</t>
        </is>
      </c>
      <c r="J58" s="5" t="inlineStr">
        <is>
          <t>Casos del Excel (diseño + ejecución manual)</t>
        </is>
      </c>
      <c r="K58" s="5" t="inlineStr">
        <is>
          <t>Casos y Escenarios FuBank.xlsx</t>
        </is>
      </c>
      <c r="L58" s="5" t="inlineStr">
        <is>
          <t>Usuario ingresa caracteres Unicode o acentuados en las credenciales.</t>
        </is>
      </c>
      <c r="M58" s="5" t="inlineStr">
        <is>
          <t>Sin resultado en el Excel</t>
        </is>
      </c>
      <c r="N58" s="6" t="inlineStr">
        <is>
          <t>Sin resultado registrado</t>
        </is>
      </c>
      <c r="O58" s="5" t="inlineStr">
        <is>
          <t>-</t>
        </is>
      </c>
      <c r="P58" s="5" t="inlineStr">
        <is>
          <t>Excel (hoja Casos de Prueba Detallado)</t>
        </is>
      </c>
      <c r="Q58" s="5" t="inlineStr">
        <is>
          <t>N/A</t>
        </is>
      </c>
    </row>
    <row r="59">
      <c r="A59" s="5" t="inlineStr">
        <is>
          <t>Tomás Henao</t>
        </is>
      </c>
      <c r="B59" s="5" t="inlineStr">
        <is>
          <t>Usuarios</t>
        </is>
      </c>
      <c r="C59" s="5" t="inlineStr">
        <is>
          <t>RF-04</t>
        </is>
      </c>
      <c r="D59" s="5" t="inlineStr">
        <is>
          <t>Autenticación de usuario</t>
        </is>
      </c>
      <c r="E59" s="5" t="inlineStr">
        <is>
          <t>ESC067</t>
        </is>
      </c>
      <c r="F59" s="5" t="inlineStr">
        <is>
          <t>TC241</t>
        </is>
      </c>
      <c r="G59" s="5" t="inlineStr">
        <is>
          <t>Entrada numérica</t>
        </is>
      </c>
      <c r="H59" s="5" t="inlineStr">
        <is>
          <t>Sistema</t>
        </is>
      </c>
      <c r="I59" s="5" t="inlineStr">
        <is>
          <t>Funcional</t>
        </is>
      </c>
      <c r="J59" s="5" t="inlineStr">
        <is>
          <t>Casos del Excel (diseño + ejecución manual)</t>
        </is>
      </c>
      <c r="K59" s="5" t="inlineStr">
        <is>
          <t>Casos y Escenarios FuBank.xlsx</t>
        </is>
      </c>
      <c r="L59" s="5" t="inlineStr">
        <is>
          <t>Usuario ingresa únicamente números en los campos de autenticación.</t>
        </is>
      </c>
      <c r="M59" s="5" t="inlineStr">
        <is>
          <t>Sin resultado en el Excel</t>
        </is>
      </c>
      <c r="N59" s="6" t="inlineStr">
        <is>
          <t>Sin resultado registrado</t>
        </is>
      </c>
      <c r="O59" s="5" t="inlineStr">
        <is>
          <t>-</t>
        </is>
      </c>
      <c r="P59" s="5" t="inlineStr">
        <is>
          <t>Excel (hoja Casos de Prueba Detallado)</t>
        </is>
      </c>
      <c r="Q59" s="5" t="inlineStr">
        <is>
          <t>N/A</t>
        </is>
      </c>
    </row>
    <row r="60">
      <c r="A60" s="5" t="inlineStr">
        <is>
          <t>Tomás Henao</t>
        </is>
      </c>
      <c r="B60" s="5" t="inlineStr">
        <is>
          <t>Usuarios</t>
        </is>
      </c>
      <c r="C60" s="5" t="inlineStr">
        <is>
          <t>RF-04</t>
        </is>
      </c>
      <c r="D60" s="5" t="inlineStr">
        <is>
          <t>Autenticación de usuario</t>
        </is>
      </c>
      <c r="E60" s="5" t="inlineStr">
        <is>
          <t>ESC067</t>
        </is>
      </c>
      <c r="F60" s="5" t="inlineStr">
        <is>
          <t>TC242</t>
        </is>
      </c>
      <c r="G60" s="5" t="inlineStr">
        <is>
          <t>Entrada extremadamente grande</t>
        </is>
      </c>
      <c r="H60" s="5" t="inlineStr">
        <is>
          <t>Sistema</t>
        </is>
      </c>
      <c r="I60" s="5" t="inlineStr">
        <is>
          <t>Rendimiento</t>
        </is>
      </c>
      <c r="J60" s="5" t="inlineStr">
        <is>
          <t>Casos del Excel (diseño + ejecución manual)</t>
        </is>
      </c>
      <c r="K60" s="5" t="inlineStr">
        <is>
          <t>Casos y Escenarios FuBank.xlsx</t>
        </is>
      </c>
      <c r="L60" s="5" t="inlineStr">
        <is>
          <t>Usuario intenta enviar una cantidad masiva de caracteres en uno o ambos campos.</t>
        </is>
      </c>
      <c r="M60" s="5" t="inlineStr">
        <is>
          <t>Sin resultado en el Excel</t>
        </is>
      </c>
      <c r="N60" s="6" t="inlineStr">
        <is>
          <t>Sin resultado registrado</t>
        </is>
      </c>
      <c r="O60" s="5" t="inlineStr">
        <is>
          <t>-</t>
        </is>
      </c>
      <c r="P60" s="5" t="inlineStr">
        <is>
          <t>Excel (hoja Casos de Prueba Detallado)</t>
        </is>
      </c>
      <c r="Q60" s="5" t="inlineStr">
        <is>
          <t>N/A</t>
        </is>
      </c>
    </row>
    <row r="61">
      <c r="A61" s="5" t="inlineStr">
        <is>
          <t>Tomás Henao</t>
        </is>
      </c>
      <c r="B61" s="5" t="inlineStr">
        <is>
          <t>Usuarios</t>
        </is>
      </c>
      <c r="C61" s="5" t="inlineStr">
        <is>
          <t>RF-04</t>
        </is>
      </c>
      <c r="D61" s="5" t="inlineStr">
        <is>
          <t>Autenticación de usuario</t>
        </is>
      </c>
      <c r="E61" s="5" t="inlineStr">
        <is>
          <t>auth/login.cy.ts</t>
        </is>
      </c>
      <c r="F61" s="5" t="inlineStr">
        <is>
          <t>CYU-LOGIN.-01</t>
        </is>
      </c>
      <c r="G61" s="5" t="inlineStr">
        <is>
          <t>CP01: Login Exitoso con credenciales válidas redirige al panel</t>
        </is>
      </c>
      <c r="H61" s="5" t="inlineStr">
        <is>
          <t>Sistema (E2E)</t>
        </is>
      </c>
      <c r="I61" s="5" t="inlineStr">
        <is>
          <t>Funcional</t>
        </is>
      </c>
      <c r="J61" s="5" t="inlineStr">
        <is>
          <t>Cypress (Usuarios y Retiro, Tomás)</t>
        </is>
      </c>
      <c r="K61" s="5" t="inlineStr">
        <is>
          <t>cypress/e2e/auth/login.cy.ts</t>
        </is>
      </c>
      <c r="L61" s="5" t="inlineStr">
        <is>
          <t>CP01: Login Exitoso con credenciales válidas redirige al panel</t>
        </is>
      </c>
      <c r="M61" s="5" t="inlineStr">
        <is>
          <t>No ejecutado: usa /auth/test-helper/* y las cuentas fijas de c9ce5f4 (regresión REG-01 abierta)</t>
        </is>
      </c>
      <c r="N61" s="6" t="inlineStr">
        <is>
          <t>No ejecutado</t>
        </is>
      </c>
      <c r="O61" s="5" t="inlineStr">
        <is>
          <t>-</t>
        </is>
      </c>
      <c r="P61" s="5" t="inlineStr">
        <is>
          <t>-</t>
        </is>
      </c>
      <c r="Q61" s="5" t="inlineStr">
        <is>
          <t>-</t>
        </is>
      </c>
    </row>
    <row r="62">
      <c r="A62" s="5" t="inlineStr">
        <is>
          <t>Tomás Henao</t>
        </is>
      </c>
      <c r="B62" s="5" t="inlineStr">
        <is>
          <t>Usuarios</t>
        </is>
      </c>
      <c r="C62" s="5" t="inlineStr">
        <is>
          <t>RF-04</t>
        </is>
      </c>
      <c r="D62" s="5" t="inlineStr">
        <is>
          <t>Autenticación de usuario</t>
        </is>
      </c>
      <c r="E62" s="5" t="inlineStr">
        <is>
          <t>auth/login.cy.ts</t>
        </is>
      </c>
      <c r="F62" s="5" t="inlineStr">
        <is>
          <t>CYU-LOGIN.-02</t>
        </is>
      </c>
      <c r="G62" s="5" t="inlineStr">
        <is>
          <t>CP02: Login con opción Recordarme activada</t>
        </is>
      </c>
      <c r="H62" s="5" t="inlineStr">
        <is>
          <t>Sistema (E2E)</t>
        </is>
      </c>
      <c r="I62" s="5" t="inlineStr">
        <is>
          <t>Funcional</t>
        </is>
      </c>
      <c r="J62" s="5" t="inlineStr">
        <is>
          <t>Cypress (Usuarios y Retiro, Tomás)</t>
        </is>
      </c>
      <c r="K62" s="5" t="inlineStr">
        <is>
          <t>cypress/e2e/auth/login.cy.ts</t>
        </is>
      </c>
      <c r="L62" s="5" t="inlineStr">
        <is>
          <t>CP02: Login con opción Recordarme activada</t>
        </is>
      </c>
      <c r="M62" s="5" t="inlineStr">
        <is>
          <t>No ejecutado: usa /auth/test-helper/* y las cuentas fijas de c9ce5f4 (regresión REG-01 abierta)</t>
        </is>
      </c>
      <c r="N62" s="6" t="inlineStr">
        <is>
          <t>No ejecutado</t>
        </is>
      </c>
      <c r="O62" s="5" t="inlineStr">
        <is>
          <t>-</t>
        </is>
      </c>
      <c r="P62" s="5" t="inlineStr">
        <is>
          <t>-</t>
        </is>
      </c>
      <c r="Q62" s="5" t="inlineStr">
        <is>
          <t>-</t>
        </is>
      </c>
    </row>
    <row r="63">
      <c r="A63" s="5" t="inlineStr">
        <is>
          <t>Tomás Henao</t>
        </is>
      </c>
      <c r="B63" s="5" t="inlineStr">
        <is>
          <t>Usuarios</t>
        </is>
      </c>
      <c r="C63" s="5" t="inlineStr">
        <is>
          <t>RF-04</t>
        </is>
      </c>
      <c r="D63" s="5" t="inlineStr">
        <is>
          <t>Autenticación de usuario</t>
        </is>
      </c>
      <c r="E63" s="5" t="inlineStr">
        <is>
          <t>auth/login.cy.ts</t>
        </is>
      </c>
      <c r="F63" s="5" t="inlineStr">
        <is>
          <t>CYU-LOGIN.-05</t>
        </is>
      </c>
      <c r="G63" s="5" t="inlineStr">
        <is>
          <t>CP05: Validación de campos vacíos obligatorios</t>
        </is>
      </c>
      <c r="H63" s="5" t="inlineStr">
        <is>
          <t>Sistema (E2E)</t>
        </is>
      </c>
      <c r="I63" s="5" t="inlineStr">
        <is>
          <t>Funcional</t>
        </is>
      </c>
      <c r="J63" s="5" t="inlineStr">
        <is>
          <t>Cypress (Usuarios y Retiro, Tomás)</t>
        </is>
      </c>
      <c r="K63" s="5" t="inlineStr">
        <is>
          <t>cypress/e2e/auth/login.cy.ts</t>
        </is>
      </c>
      <c r="L63" s="5" t="inlineStr">
        <is>
          <t>CP05: Validación de campos vacíos obligatorios</t>
        </is>
      </c>
      <c r="M63" s="5" t="inlineStr">
        <is>
          <t>No ejecutado: usa /auth/test-helper/* y las cuentas fijas de c9ce5f4 (regresión REG-01 abierta)</t>
        </is>
      </c>
      <c r="N63" s="6" t="inlineStr">
        <is>
          <t>No ejecutado</t>
        </is>
      </c>
      <c r="O63" s="5" t="inlineStr">
        <is>
          <t>-</t>
        </is>
      </c>
      <c r="P63" s="5" t="inlineStr">
        <is>
          <t>-</t>
        </is>
      </c>
      <c r="Q63" s="5" t="inlineStr">
        <is>
          <t>-</t>
        </is>
      </c>
    </row>
    <row r="64">
      <c r="A64" s="5" t="inlineStr">
        <is>
          <t>Tomás Henao</t>
        </is>
      </c>
      <c r="B64" s="5" t="inlineStr">
        <is>
          <t>Usuarios</t>
        </is>
      </c>
      <c r="C64" s="5" t="inlineStr">
        <is>
          <t>RF-04</t>
        </is>
      </c>
      <c r="D64" s="5" t="inlineStr">
        <is>
          <t>Autenticación de usuario</t>
        </is>
      </c>
      <c r="E64" s="5" t="inlineStr">
        <is>
          <t>Katalon Recorder</t>
        </is>
      </c>
      <c r="F64" s="5" t="inlineStr">
        <is>
          <t>Suite_09_Login</t>
        </is>
      </c>
      <c r="G64" s="5" t="inlineStr">
        <is>
          <t>Suite_09_Login (Tomás)</t>
        </is>
      </c>
      <c r="H64" s="5" t="inlineStr">
        <is>
          <t>Sistema (E2E)</t>
        </is>
      </c>
      <c r="I64" s="5" t="inlineStr">
        <is>
          <t>Funcional</t>
        </is>
      </c>
      <c r="J64" s="5" t="inlineStr">
        <is>
          <t>Katalon Recorder</t>
        </is>
      </c>
      <c r="K64" s="5" t="inlineStr">
        <is>
          <t>katalon/suites/Suite_09_Login.html</t>
        </is>
      </c>
      <c r="L64" s="5" t="inlineStr">
        <is>
          <t>Todos los casos de la suite pasan</t>
        </is>
      </c>
      <c r="M64" s="5" t="inlineStr">
        <is>
          <t>Sin resultado registrado en el repositorio</t>
        </is>
      </c>
      <c r="N64" s="6" t="inlineStr">
        <is>
          <t>Sin resultado registrado</t>
        </is>
      </c>
      <c r="O64" s="5" t="inlineStr">
        <is>
          <t>-</t>
        </is>
      </c>
      <c r="P64" s="5" t="inlineStr">
        <is>
          <t>-</t>
        </is>
      </c>
      <c r="Q64" s="5" t="inlineStr">
        <is>
          <t>-</t>
        </is>
      </c>
    </row>
    <row r="65">
      <c r="A65" s="5" t="inlineStr">
        <is>
          <t>Tomás Henao</t>
        </is>
      </c>
      <c r="B65" s="5" t="inlineStr">
        <is>
          <t>Usuarios</t>
        </is>
      </c>
      <c r="C65" s="5" t="inlineStr">
        <is>
          <t>RF-04</t>
        </is>
      </c>
      <c r="D65" s="5" t="inlineStr">
        <is>
          <t>Autenticación de usuario</t>
        </is>
      </c>
      <c r="E65" s="5" t="inlineStr">
        <is>
          <t>login.feature</t>
        </is>
      </c>
      <c r="F65" s="5" t="inlineStr">
        <is>
          <t>SJ-LOGI-01</t>
        </is>
      </c>
      <c r="G65" s="5" t="inlineStr">
        <is>
          <t>Inicio de sesión exitoso</t>
        </is>
      </c>
      <c r="H65" s="5" t="inlineStr">
        <is>
          <t>Integración (API)</t>
        </is>
      </c>
      <c r="I65" s="5" t="inlineStr">
        <is>
          <t>Funcional</t>
        </is>
      </c>
      <c r="J65" s="5" t="inlineStr">
        <is>
          <t>Serenity/JS Screenplay + Gherkin</t>
        </is>
      </c>
      <c r="K65" s="5" t="inlineStr">
        <is>
          <t>features/login/login.feature</t>
        </is>
      </c>
      <c r="L65" s="5" t="inlineStr">
        <is>
          <t>Inicio de sesión exitoso</t>
        </is>
      </c>
      <c r="M65" s="5" t="inlineStr">
        <is>
          <t>Todos los pasos pasaron</t>
        </is>
      </c>
      <c r="N65" s="7" t="inlineStr">
        <is>
          <t>Aprobado</t>
        </is>
      </c>
      <c r="O65" s="5" t="inlineStr">
        <is>
          <t>2026-10-27</t>
        </is>
      </c>
      <c r="P65" s="5" t="inlineStr">
        <is>
          <t>docs/evidencia-final-equipo/serenity-equipo-corrida.txt</t>
        </is>
      </c>
      <c r="Q65" s="5" t="inlineStr">
        <is>
          <t>-</t>
        </is>
      </c>
    </row>
    <row r="66">
      <c r="A66" s="5" t="inlineStr">
        <is>
          <t>Tomás Henao</t>
        </is>
      </c>
      <c r="B66" s="5" t="inlineStr">
        <is>
          <t>Usuarios</t>
        </is>
      </c>
      <c r="C66" s="5" t="inlineStr">
        <is>
          <t>RF-04</t>
        </is>
      </c>
      <c r="D66" s="5" t="inlineStr">
        <is>
          <t>Autenticación de usuario</t>
        </is>
      </c>
      <c r="E66" s="5" t="inlineStr">
        <is>
          <t>login.feature</t>
        </is>
      </c>
      <c r="F66" s="5" t="inlineStr">
        <is>
          <t>SJ-LOGI-02</t>
        </is>
      </c>
      <c r="G66" s="5" t="inlineStr">
        <is>
          <t>Inicio de sesión con contraseña incorrecta</t>
        </is>
      </c>
      <c r="H66" s="5" t="inlineStr">
        <is>
          <t>Integración (API)</t>
        </is>
      </c>
      <c r="I66" s="5" t="inlineStr">
        <is>
          <t>Funcional</t>
        </is>
      </c>
      <c r="J66" s="5" t="inlineStr">
        <is>
          <t>Serenity/JS Screenplay + Gherkin</t>
        </is>
      </c>
      <c r="K66" s="5" t="inlineStr">
        <is>
          <t>features/login/login.feature</t>
        </is>
      </c>
      <c r="L66" s="5" t="inlineStr">
        <is>
          <t>Inicio de sesión con contraseña incorrecta</t>
        </is>
      </c>
      <c r="M66" s="5" t="inlineStr">
        <is>
          <t>Todos los pasos pasaron</t>
        </is>
      </c>
      <c r="N66" s="7" t="inlineStr">
        <is>
          <t>Aprobado</t>
        </is>
      </c>
      <c r="O66" s="5" t="inlineStr">
        <is>
          <t>2026-10-27</t>
        </is>
      </c>
      <c r="P66" s="5" t="inlineStr">
        <is>
          <t>docs/evidencia-final-equipo/serenity-equipo-corrida.txt</t>
        </is>
      </c>
      <c r="Q66" s="5" t="inlineStr">
        <is>
          <t>-</t>
        </is>
      </c>
    </row>
    <row r="67">
      <c r="A67" s="5" t="inlineStr">
        <is>
          <t>Tomás Henao</t>
        </is>
      </c>
      <c r="B67" s="5" t="inlineStr">
        <is>
          <t>Usuarios</t>
        </is>
      </c>
      <c r="C67" s="5" t="inlineStr">
        <is>
          <t>RF-04</t>
        </is>
      </c>
      <c r="D67" s="5" t="inlineStr">
        <is>
          <t>Autenticación de usuario</t>
        </is>
      </c>
      <c r="E67" s="5" t="inlineStr">
        <is>
          <t>login.feature</t>
        </is>
      </c>
      <c r="F67" s="5" t="inlineStr">
        <is>
          <t>SJ-LOGI-03</t>
        </is>
      </c>
      <c r="G67" s="5" t="inlineStr">
        <is>
          <t>Inicio de sesión con email no registrado</t>
        </is>
      </c>
      <c r="H67" s="5" t="inlineStr">
        <is>
          <t>Integración (API)</t>
        </is>
      </c>
      <c r="I67" s="5" t="inlineStr">
        <is>
          <t>Funcional</t>
        </is>
      </c>
      <c r="J67" s="5" t="inlineStr">
        <is>
          <t>Serenity/JS Screenplay + Gherkin</t>
        </is>
      </c>
      <c r="K67" s="5" t="inlineStr">
        <is>
          <t>features/login/login.feature</t>
        </is>
      </c>
      <c r="L67" s="5" t="inlineStr">
        <is>
          <t>Inicio de sesión con email no registrado</t>
        </is>
      </c>
      <c r="M67" s="5" t="inlineStr">
        <is>
          <t>Todos los pasos pasaron</t>
        </is>
      </c>
      <c r="N67" s="7" t="inlineStr">
        <is>
          <t>Aprobado</t>
        </is>
      </c>
      <c r="O67" s="5" t="inlineStr">
        <is>
          <t>2026-10-27</t>
        </is>
      </c>
      <c r="P67" s="5" t="inlineStr">
        <is>
          <t>docs/evidencia-final-equipo/serenity-equipo-corrida.txt</t>
        </is>
      </c>
      <c r="Q67" s="5" t="inlineStr">
        <is>
          <t>-</t>
        </is>
      </c>
    </row>
    <row r="68">
      <c r="A68" s="5" t="inlineStr">
        <is>
          <t>Tomás Henao</t>
        </is>
      </c>
      <c r="B68" s="5" t="inlineStr">
        <is>
          <t>Usuarios</t>
        </is>
      </c>
      <c r="C68" s="5" t="inlineStr">
        <is>
          <t>RF-04</t>
        </is>
      </c>
      <c r="D68" s="5" t="inlineStr">
        <is>
          <t>Autenticación de usuario</t>
        </is>
      </c>
      <c r="E68" s="5" t="inlineStr">
        <is>
          <t>login.feature</t>
        </is>
      </c>
      <c r="F68" s="5" t="inlineStr">
        <is>
          <t>SJ-LOGI-04</t>
        </is>
      </c>
      <c r="G68" s="5" t="inlineStr">
        <is>
          <t>Inicio de sesión con campos vacíos</t>
        </is>
      </c>
      <c r="H68" s="5" t="inlineStr">
        <is>
          <t>Integración (API)</t>
        </is>
      </c>
      <c r="I68" s="5" t="inlineStr">
        <is>
          <t>Funcional</t>
        </is>
      </c>
      <c r="J68" s="5" t="inlineStr">
        <is>
          <t>Serenity/JS Screenplay + Gherkin</t>
        </is>
      </c>
      <c r="K68" s="5" t="inlineStr">
        <is>
          <t>features/login/login.feature</t>
        </is>
      </c>
      <c r="L68" s="5" t="inlineStr">
        <is>
          <t>Inicio de sesión con campos vacíos</t>
        </is>
      </c>
      <c r="M68" s="5" t="inlineStr">
        <is>
          <t>Todos los pasos pasaron</t>
        </is>
      </c>
      <c r="N68" s="7" t="inlineStr">
        <is>
          <t>Aprobado</t>
        </is>
      </c>
      <c r="O68" s="5" t="inlineStr">
        <is>
          <t>2026-10-27</t>
        </is>
      </c>
      <c r="P68" s="5" t="inlineStr">
        <is>
          <t>docs/evidencia-final-equipo/serenity-equipo-corrida.txt</t>
        </is>
      </c>
      <c r="Q68" s="5" t="inlineStr">
        <is>
          <t>-</t>
        </is>
      </c>
    </row>
    <row r="69">
      <c r="A69" s="5" t="inlineStr">
        <is>
          <t>Tomás Henao</t>
        </is>
      </c>
      <c r="B69" s="5" t="inlineStr">
        <is>
          <t>Usuarios</t>
        </is>
      </c>
      <c r="C69" s="5" t="inlineStr">
        <is>
          <t>RF-04</t>
        </is>
      </c>
      <c r="D69" s="5" t="inlineStr">
        <is>
          <t>Autenticación de usuario</t>
        </is>
      </c>
      <c r="E69" s="5" t="inlineStr">
        <is>
          <t>Stagehand</t>
        </is>
      </c>
      <c r="F69" s="5" t="inlineStr">
        <is>
          <t>SH-T09</t>
        </is>
      </c>
      <c r="G69" s="5" t="inlineStr">
        <is>
          <t>09-login-sin-2fa (act + extract, 8 pasos)</t>
        </is>
      </c>
      <c r="H69" s="5" t="inlineStr">
        <is>
          <t>Sistema (E2E con IA)</t>
        </is>
      </c>
      <c r="I69" s="5" t="inlineStr">
        <is>
          <t>Funcional</t>
        </is>
      </c>
      <c r="J69" s="5" t="inlineStr">
        <is>
          <t>Stagehand (Tomás)</t>
        </is>
      </c>
      <c r="K69" s="5" t="inlineStr">
        <is>
          <t>e2e/stagehand/src/scenarios/</t>
        </is>
      </c>
      <c r="L69" s="5" t="inlineStr">
        <is>
          <t>Ver escenario</t>
        </is>
      </c>
      <c r="M69" s="5" t="inlineStr">
        <is>
          <t>Reporte generado al completar el escenario</t>
        </is>
      </c>
      <c r="N69" s="8" t="inlineStr">
        <is>
          <t>Aprobado (reportado)</t>
        </is>
      </c>
      <c r="O69" s="5" t="inlineStr">
        <is>
          <t>2026-10-27</t>
        </is>
      </c>
      <c r="P69" s="5" t="inlineStr">
        <is>
          <t>e2e/stagehand/evidence/09-login-sin-2fa-report.json</t>
        </is>
      </c>
      <c r="Q69" s="5" t="inlineStr">
        <is>
          <t>-</t>
        </is>
      </c>
    </row>
    <row r="70">
      <c r="A70" s="5" t="inlineStr">
        <is>
          <t>Tomás Henao</t>
        </is>
      </c>
      <c r="B70" s="5" t="inlineStr">
        <is>
          <t>Usuarios</t>
        </is>
      </c>
      <c r="C70" s="5" t="inlineStr">
        <is>
          <t>RF-04</t>
        </is>
      </c>
      <c r="D70" s="5" t="inlineStr">
        <is>
          <t>Autenticación de usuario</t>
        </is>
      </c>
      <c r="E70" s="5" t="inlineStr">
        <is>
          <t>Vitest backend · unitaria</t>
        </is>
      </c>
      <c r="F70" s="5" t="inlineStr">
        <is>
          <t>VT-AuthController.test</t>
        </is>
      </c>
      <c r="G70" s="5" t="inlineStr">
        <is>
          <t>AuthController.test.ts (11 pruebas)</t>
        </is>
      </c>
      <c r="H70" s="5" t="inlineStr">
        <is>
          <t>Unitaria / Integración</t>
        </is>
      </c>
      <c r="I70" s="5" t="inlineStr">
        <is>
          <t>Funcional</t>
        </is>
      </c>
      <c r="J70" s="5" t="inlineStr">
        <is>
          <t>Vitest backend</t>
        </is>
      </c>
      <c r="K70" s="5" t="inlineStr">
        <is>
          <t>backend/src/tests/unit/auth/AuthController.test.ts</t>
        </is>
      </c>
      <c r="L70" s="5" t="inlineStr">
        <is>
          <t>Todas las pruebas del archivo pasan</t>
        </is>
      </c>
      <c r="M70" s="5" t="inlineStr">
        <is>
          <t>11/11 pasan</t>
        </is>
      </c>
      <c r="N70" s="7" t="inlineStr">
        <is>
          <t>Aprobado</t>
        </is>
      </c>
      <c r="O70" s="5" t="inlineStr">
        <is>
          <t>2026-10-27</t>
        </is>
      </c>
      <c r="P70" s="5" t="inlineStr">
        <is>
          <t>docs/evidencia-final-equipo/vitest-backend.json</t>
        </is>
      </c>
      <c r="Q70" s="5" t="inlineStr">
        <is>
          <t>-</t>
        </is>
      </c>
    </row>
    <row r="71">
      <c r="A71" s="5" t="inlineStr">
        <is>
          <t>Tomás Henao</t>
        </is>
      </c>
      <c r="B71" s="5" t="inlineStr">
        <is>
          <t>Usuarios</t>
        </is>
      </c>
      <c r="C71" s="5" t="inlineStr">
        <is>
          <t>RF-04</t>
        </is>
      </c>
      <c r="D71" s="5" t="inlineStr">
        <is>
          <t>Autenticación de usuario</t>
        </is>
      </c>
      <c r="E71" s="5" t="inlineStr">
        <is>
          <t>Vitest backend · unitaria</t>
        </is>
      </c>
      <c r="F71" s="5" t="inlineStr">
        <is>
          <t>VT-LoginUser.mock.test</t>
        </is>
      </c>
      <c r="G71" s="5" t="inlineStr">
        <is>
          <t>LoginUser.mock.test.ts (5 pruebas)</t>
        </is>
      </c>
      <c r="H71" s="5" t="inlineStr">
        <is>
          <t>Unitaria / Integración</t>
        </is>
      </c>
      <c r="I71" s="5" t="inlineStr">
        <is>
          <t>Funcional</t>
        </is>
      </c>
      <c r="J71" s="5" t="inlineStr">
        <is>
          <t>Vitest backend</t>
        </is>
      </c>
      <c r="K71" s="5" t="inlineStr">
        <is>
          <t>backend/src/tests/auth/mocks/LoginUser.mock.test.ts</t>
        </is>
      </c>
      <c r="L71" s="5" t="inlineStr">
        <is>
          <t>Todas las pruebas del archivo pasan</t>
        </is>
      </c>
      <c r="M71" s="5" t="inlineStr">
        <is>
          <t>5/5 pasan</t>
        </is>
      </c>
      <c r="N71" s="7" t="inlineStr">
        <is>
          <t>Aprobado</t>
        </is>
      </c>
      <c r="O71" s="5" t="inlineStr">
        <is>
          <t>2026-10-27</t>
        </is>
      </c>
      <c r="P71" s="5" t="inlineStr">
        <is>
          <t>docs/evidencia-final-equipo/vitest-backend.json</t>
        </is>
      </c>
      <c r="Q71" s="5" t="inlineStr">
        <is>
          <t>-</t>
        </is>
      </c>
    </row>
    <row r="72">
      <c r="A72" s="5" t="inlineStr">
        <is>
          <t>Tomás Henao</t>
        </is>
      </c>
      <c r="B72" s="5" t="inlineStr">
        <is>
          <t>Usuarios</t>
        </is>
      </c>
      <c r="C72" s="5" t="inlineStr">
        <is>
          <t>RF-04</t>
        </is>
      </c>
      <c r="D72" s="5" t="inlineStr">
        <is>
          <t>Autenticación de usuario</t>
        </is>
      </c>
      <c r="E72" s="5" t="inlineStr">
        <is>
          <t>Vitest backend · unitaria</t>
        </is>
      </c>
      <c r="F72" s="5" t="inlineStr">
        <is>
          <t>VT-LoginUser.test</t>
        </is>
      </c>
      <c r="G72" s="5" t="inlineStr">
        <is>
          <t>LoginUser.test.ts (4 pruebas)</t>
        </is>
      </c>
      <c r="H72" s="5" t="inlineStr">
        <is>
          <t>Unitaria / Integración</t>
        </is>
      </c>
      <c r="I72" s="5" t="inlineStr">
        <is>
          <t>Funcional</t>
        </is>
      </c>
      <c r="J72" s="5" t="inlineStr">
        <is>
          <t>Vitest backend</t>
        </is>
      </c>
      <c r="K72" s="5" t="inlineStr">
        <is>
          <t>backend/src/tests/auth/LoginUser.test.ts</t>
        </is>
      </c>
      <c r="L72" s="5" t="inlineStr">
        <is>
          <t>Todas las pruebas del archivo pasan</t>
        </is>
      </c>
      <c r="M72" s="5" t="inlineStr">
        <is>
          <t>4/4 pasan</t>
        </is>
      </c>
      <c r="N72" s="7" t="inlineStr">
        <is>
          <t>Aprobado</t>
        </is>
      </c>
      <c r="O72" s="5" t="inlineStr">
        <is>
          <t>2026-10-27</t>
        </is>
      </c>
      <c r="P72" s="5" t="inlineStr">
        <is>
          <t>docs/evidencia-final-equipo/vitest-backend.json</t>
        </is>
      </c>
      <c r="Q72" s="5" t="inlineStr">
        <is>
          <t>-</t>
        </is>
      </c>
    </row>
    <row r="73">
      <c r="A73" s="5" t="inlineStr">
        <is>
          <t>Tomás Henao</t>
        </is>
      </c>
      <c r="B73" s="5" t="inlineStr">
        <is>
          <t>Usuarios</t>
        </is>
      </c>
      <c r="C73" s="5" t="inlineStr">
        <is>
          <t>RF-04</t>
        </is>
      </c>
      <c r="D73" s="5" t="inlineStr">
        <is>
          <t>Autenticación de usuario</t>
        </is>
      </c>
      <c r="E73" s="5" t="inlineStr">
        <is>
          <t>Vitest backend · unitaria</t>
        </is>
      </c>
      <c r="F73" s="5" t="inlineStr">
        <is>
          <t>VT-NodemailerEmailService.test</t>
        </is>
      </c>
      <c r="G73" s="5" t="inlineStr">
        <is>
          <t>NodemailerEmailService.test.ts (3 pruebas)</t>
        </is>
      </c>
      <c r="H73" s="5" t="inlineStr">
        <is>
          <t>Unitaria / Integración</t>
        </is>
      </c>
      <c r="I73" s="5" t="inlineStr">
        <is>
          <t>Funcional</t>
        </is>
      </c>
      <c r="J73" s="5" t="inlineStr">
        <is>
          <t>Vitest backend</t>
        </is>
      </c>
      <c r="K73" s="5" t="inlineStr">
        <is>
          <t>backend/src/tests/unit/auth/NodemailerEmailService.test.ts</t>
        </is>
      </c>
      <c r="L73" s="5" t="inlineStr">
        <is>
          <t>Todas las pruebas del archivo pasan</t>
        </is>
      </c>
      <c r="M73" s="5" t="inlineStr">
        <is>
          <t>3/3 pasan</t>
        </is>
      </c>
      <c r="N73" s="7" t="inlineStr">
        <is>
          <t>Aprobado</t>
        </is>
      </c>
      <c r="O73" s="5" t="inlineStr">
        <is>
          <t>2026-10-27</t>
        </is>
      </c>
      <c r="P73" s="5" t="inlineStr">
        <is>
          <t>docs/evidencia-final-equipo/vitest-backend.json</t>
        </is>
      </c>
      <c r="Q73" s="5" t="inlineStr">
        <is>
          <t>-</t>
        </is>
      </c>
    </row>
    <row r="74">
      <c r="A74" s="5" t="inlineStr">
        <is>
          <t>Tomás Henao</t>
        </is>
      </c>
      <c r="B74" s="5" t="inlineStr">
        <is>
          <t>Usuarios</t>
        </is>
      </c>
      <c r="C74" s="5" t="inlineStr">
        <is>
          <t>RF-04</t>
        </is>
      </c>
      <c r="D74" s="5" t="inlineStr">
        <is>
          <t>Autenticación de usuario</t>
        </is>
      </c>
      <c r="E74" s="5" t="inlineStr">
        <is>
          <t>Vitest backend · unitaria</t>
        </is>
      </c>
      <c r="F74" s="5" t="inlineStr">
        <is>
          <t>VT-SupabaseUserRepository.test</t>
        </is>
      </c>
      <c r="G74" s="5" t="inlineStr">
        <is>
          <t>SupabaseUserRepository.test.ts (12 pruebas)</t>
        </is>
      </c>
      <c r="H74" s="5" t="inlineStr">
        <is>
          <t>Unitaria / Integración</t>
        </is>
      </c>
      <c r="I74" s="5" t="inlineStr">
        <is>
          <t>Funcional</t>
        </is>
      </c>
      <c r="J74" s="5" t="inlineStr">
        <is>
          <t>Vitest backend</t>
        </is>
      </c>
      <c r="K74" s="5" t="inlineStr">
        <is>
          <t>backend/src/tests/unit/auth/SupabaseUserRepository.test.ts</t>
        </is>
      </c>
      <c r="L74" s="5" t="inlineStr">
        <is>
          <t>Todas las pruebas del archivo pasan</t>
        </is>
      </c>
      <c r="M74" s="5" t="inlineStr">
        <is>
          <t>12/12 pasan</t>
        </is>
      </c>
      <c r="N74" s="7" t="inlineStr">
        <is>
          <t>Aprobado</t>
        </is>
      </c>
      <c r="O74" s="5" t="inlineStr">
        <is>
          <t>2026-10-27</t>
        </is>
      </c>
      <c r="P74" s="5" t="inlineStr">
        <is>
          <t>docs/evidencia-final-equipo/vitest-backend.json</t>
        </is>
      </c>
      <c r="Q74" s="5" t="inlineStr">
        <is>
          <t>-</t>
        </is>
      </c>
    </row>
    <row r="75">
      <c r="A75" s="5" t="inlineStr">
        <is>
          <t>Tomás Henao</t>
        </is>
      </c>
      <c r="B75" s="5" t="inlineStr">
        <is>
          <t>Usuarios</t>
        </is>
      </c>
      <c r="C75" s="5" t="inlineStr">
        <is>
          <t>RF-04</t>
        </is>
      </c>
      <c r="D75" s="5" t="inlineStr">
        <is>
          <t>Autenticación de usuario</t>
        </is>
      </c>
      <c r="E75" s="5" t="inlineStr">
        <is>
          <t>Vitest backend · unitaria</t>
        </is>
      </c>
      <c r="F75" s="5" t="inlineStr">
        <is>
          <t>VT-SupabaseVerificationCodeRepository.test</t>
        </is>
      </c>
      <c r="G75" s="5" t="inlineStr">
        <is>
          <t>SupabaseVerificationCodeRepository.test.ts (6 pruebas)</t>
        </is>
      </c>
      <c r="H75" s="5" t="inlineStr">
        <is>
          <t>Unitaria / Integración</t>
        </is>
      </c>
      <c r="I75" s="5" t="inlineStr">
        <is>
          <t>Funcional</t>
        </is>
      </c>
      <c r="J75" s="5" t="inlineStr">
        <is>
          <t>Vitest backend</t>
        </is>
      </c>
      <c r="K75" s="5" t="inlineStr">
        <is>
          <t>backend/src/tests/unit/auth/SupabaseVerificationCodeRepository.test.ts</t>
        </is>
      </c>
      <c r="L75" s="5" t="inlineStr">
        <is>
          <t>Todas las pruebas del archivo pasan</t>
        </is>
      </c>
      <c r="M75" s="5" t="inlineStr">
        <is>
          <t>6/6 pasan</t>
        </is>
      </c>
      <c r="N75" s="7" t="inlineStr">
        <is>
          <t>Aprobado</t>
        </is>
      </c>
      <c r="O75" s="5" t="inlineStr">
        <is>
          <t>2026-10-27</t>
        </is>
      </c>
      <c r="P75" s="5" t="inlineStr">
        <is>
          <t>docs/evidencia-final-equipo/vitest-backend.json</t>
        </is>
      </c>
      <c r="Q75" s="5" t="inlineStr">
        <is>
          <t>-</t>
        </is>
      </c>
    </row>
    <row r="76">
      <c r="A76" s="5" t="inlineStr">
        <is>
          <t>Tomás Henao</t>
        </is>
      </c>
      <c r="B76" s="5" t="inlineStr">
        <is>
          <t>Usuarios</t>
        </is>
      </c>
      <c r="C76" s="5" t="inlineStr">
        <is>
          <t>RF-04</t>
        </is>
      </c>
      <c r="D76" s="5" t="inlineStr">
        <is>
          <t>Autenticación de usuario</t>
        </is>
      </c>
      <c r="E76" s="5" t="inlineStr">
        <is>
          <t>Vitest backend · unitaria</t>
        </is>
      </c>
      <c r="F76" s="5" t="inlineStr">
        <is>
          <t>VT-User.entity.test</t>
        </is>
      </c>
      <c r="G76" s="5" t="inlineStr">
        <is>
          <t>User.entity.test.ts (13 pruebas)</t>
        </is>
      </c>
      <c r="H76" s="5" t="inlineStr">
        <is>
          <t>Unitaria / Integración</t>
        </is>
      </c>
      <c r="I76" s="5" t="inlineStr">
        <is>
          <t>Funcional</t>
        </is>
      </c>
      <c r="J76" s="5" t="inlineStr">
        <is>
          <t>Vitest backend</t>
        </is>
      </c>
      <c r="K76" s="5" t="inlineStr">
        <is>
          <t>backend/src/tests/unit/auth/User.entity.test.ts</t>
        </is>
      </c>
      <c r="L76" s="5" t="inlineStr">
        <is>
          <t>Todas las pruebas del archivo pasan</t>
        </is>
      </c>
      <c r="M76" s="5" t="inlineStr">
        <is>
          <t>13/13 pasan</t>
        </is>
      </c>
      <c r="N76" s="7" t="inlineStr">
        <is>
          <t>Aprobado</t>
        </is>
      </c>
      <c r="O76" s="5" t="inlineStr">
        <is>
          <t>2026-10-27</t>
        </is>
      </c>
      <c r="P76" s="5" t="inlineStr">
        <is>
          <t>docs/evidencia-final-equipo/vitest-backend.json</t>
        </is>
      </c>
      <c r="Q76" s="5" t="inlineStr">
        <is>
          <t>-</t>
        </is>
      </c>
    </row>
    <row r="77">
      <c r="A77" s="5" t="inlineStr">
        <is>
          <t>Tomás Henao</t>
        </is>
      </c>
      <c r="B77" s="5" t="inlineStr">
        <is>
          <t>Usuarios</t>
        </is>
      </c>
      <c r="C77" s="5" t="inlineStr">
        <is>
          <t>RF-04</t>
        </is>
      </c>
      <c r="D77" s="5" t="inlineStr">
        <is>
          <t>Autenticación de usuario</t>
        </is>
      </c>
      <c r="E77" s="5" t="inlineStr">
        <is>
          <t>Vitest backend · unitaria</t>
        </is>
      </c>
      <c r="F77" s="5" t="inlineStr">
        <is>
          <t>VT-VerificationCode.entity.test</t>
        </is>
      </c>
      <c r="G77" s="5" t="inlineStr">
        <is>
          <t>VerificationCode.entity.test.ts (3 pruebas)</t>
        </is>
      </c>
      <c r="H77" s="5" t="inlineStr">
        <is>
          <t>Unitaria / Integración</t>
        </is>
      </c>
      <c r="I77" s="5" t="inlineStr">
        <is>
          <t>Funcional</t>
        </is>
      </c>
      <c r="J77" s="5" t="inlineStr">
        <is>
          <t>Vitest backend</t>
        </is>
      </c>
      <c r="K77" s="5" t="inlineStr">
        <is>
          <t>backend/src/tests/unit/auth/VerificationCode.entity.test.ts</t>
        </is>
      </c>
      <c r="L77" s="5" t="inlineStr">
        <is>
          <t>Todas las pruebas del archivo pasan</t>
        </is>
      </c>
      <c r="M77" s="5" t="inlineStr">
        <is>
          <t>3/3 pasan</t>
        </is>
      </c>
      <c r="N77" s="7" t="inlineStr">
        <is>
          <t>Aprobado</t>
        </is>
      </c>
      <c r="O77" s="5" t="inlineStr">
        <is>
          <t>2026-10-27</t>
        </is>
      </c>
      <c r="P77" s="5" t="inlineStr">
        <is>
          <t>docs/evidencia-final-equipo/vitest-backend.json</t>
        </is>
      </c>
      <c r="Q77" s="5" t="inlineStr">
        <is>
          <t>-</t>
        </is>
      </c>
    </row>
    <row r="78">
      <c r="A78" s="5" t="inlineStr">
        <is>
          <t>Tomás Henao</t>
        </is>
      </c>
      <c r="B78" s="5" t="inlineStr">
        <is>
          <t>Usuarios</t>
        </is>
      </c>
      <c r="C78" s="5" t="inlineStr">
        <is>
          <t>RF-04</t>
        </is>
      </c>
      <c r="D78" s="5" t="inlineStr">
        <is>
          <t>Autenticación de usuario</t>
        </is>
      </c>
      <c r="E78" s="5" t="inlineStr">
        <is>
          <t>Vitest backend · unitaria</t>
        </is>
      </c>
      <c r="F78" s="5" t="inlineStr">
        <is>
          <t>VT-adminMiddleware.test</t>
        </is>
      </c>
      <c r="G78" s="5" t="inlineStr">
        <is>
          <t>adminMiddleware.test.ts (7 pruebas)</t>
        </is>
      </c>
      <c r="H78" s="5" t="inlineStr">
        <is>
          <t>Unitaria / Integración</t>
        </is>
      </c>
      <c r="I78" s="5" t="inlineStr">
        <is>
          <t>Funcional</t>
        </is>
      </c>
      <c r="J78" s="5" t="inlineStr">
        <is>
          <t>Vitest backend</t>
        </is>
      </c>
      <c r="K78" s="5" t="inlineStr">
        <is>
          <t>backend/src/tests/unit/auth/adminMiddleware.test.ts</t>
        </is>
      </c>
      <c r="L78" s="5" t="inlineStr">
        <is>
          <t>Todas las pruebas del archivo pasan</t>
        </is>
      </c>
      <c r="M78" s="5" t="inlineStr">
        <is>
          <t>7/7 pasan</t>
        </is>
      </c>
      <c r="N78" s="7" t="inlineStr">
        <is>
          <t>Aprobado</t>
        </is>
      </c>
      <c r="O78" s="5" t="inlineStr">
        <is>
          <t>2026-10-27</t>
        </is>
      </c>
      <c r="P78" s="5" t="inlineStr">
        <is>
          <t>docs/evidencia-final-equipo/vitest-backend.json</t>
        </is>
      </c>
      <c r="Q78" s="5" t="inlineStr">
        <is>
          <t>-</t>
        </is>
      </c>
    </row>
    <row r="79">
      <c r="A79" s="5" t="inlineStr">
        <is>
          <t>Tomás Henao</t>
        </is>
      </c>
      <c r="B79" s="5" t="inlineStr">
        <is>
          <t>Usuarios</t>
        </is>
      </c>
      <c r="C79" s="5" t="inlineStr">
        <is>
          <t>RF-04</t>
        </is>
      </c>
      <c r="D79" s="5" t="inlineStr">
        <is>
          <t>Autenticación de usuario</t>
        </is>
      </c>
      <c r="E79" s="5" t="inlineStr">
        <is>
          <t>Vitest backend · API</t>
        </is>
      </c>
      <c r="F79" s="5" t="inlineStr">
        <is>
          <t>VT-auth.api.test</t>
        </is>
      </c>
      <c r="G79" s="5" t="inlineStr">
        <is>
          <t>auth.api.test.ts (2 pruebas)</t>
        </is>
      </c>
      <c r="H79" s="5" t="inlineStr">
        <is>
          <t>Unitaria / Integración</t>
        </is>
      </c>
      <c r="I79" s="5" t="inlineStr">
        <is>
          <t>Funcional</t>
        </is>
      </c>
      <c r="J79" s="5" t="inlineStr">
        <is>
          <t>Vitest backend</t>
        </is>
      </c>
      <c r="K79" s="5" t="inlineStr">
        <is>
          <t>backend/src/tests/api/auth.api.test.ts</t>
        </is>
      </c>
      <c r="L79" s="5" t="inlineStr">
        <is>
          <t>Todas las pruebas del archivo pasan</t>
        </is>
      </c>
      <c r="M79" s="5" t="inlineStr">
        <is>
          <t>2/2 pasan</t>
        </is>
      </c>
      <c r="N79" s="7" t="inlineStr">
        <is>
          <t>Aprobado</t>
        </is>
      </c>
      <c r="O79" s="5" t="inlineStr">
        <is>
          <t>2026-10-27</t>
        </is>
      </c>
      <c r="P79" s="5" t="inlineStr">
        <is>
          <t>docs/evidencia-final-equipo/vitest-backend.json</t>
        </is>
      </c>
      <c r="Q79" s="5" t="inlineStr">
        <is>
          <t>-</t>
        </is>
      </c>
    </row>
    <row r="80">
      <c r="A80" s="5" t="inlineStr">
        <is>
          <t>Tomás Henao</t>
        </is>
      </c>
      <c r="B80" s="5" t="inlineStr">
        <is>
          <t>Usuarios</t>
        </is>
      </c>
      <c r="C80" s="5" t="inlineStr">
        <is>
          <t>RF-04</t>
        </is>
      </c>
      <c r="D80" s="5" t="inlineStr">
        <is>
          <t>Autenticación de usuario</t>
        </is>
      </c>
      <c r="E80" s="5" t="inlineStr">
        <is>
          <t>Vitest backend · performance</t>
        </is>
      </c>
      <c r="F80" s="5" t="inlineStr">
        <is>
          <t>VT-auth.performance.test</t>
        </is>
      </c>
      <c r="G80" s="5" t="inlineStr">
        <is>
          <t>auth.performance.test.ts (2 pruebas)</t>
        </is>
      </c>
      <c r="H80" s="5" t="inlineStr">
        <is>
          <t>Unitaria / Integración</t>
        </is>
      </c>
      <c r="I80" s="5" t="inlineStr">
        <is>
          <t>Rendimiento</t>
        </is>
      </c>
      <c r="J80" s="5" t="inlineStr">
        <is>
          <t>Vitest backend</t>
        </is>
      </c>
      <c r="K80" s="5" t="inlineStr">
        <is>
          <t>backend/src/tests/performance/auth.performance.test.ts</t>
        </is>
      </c>
      <c r="L80" s="5" t="inlineStr">
        <is>
          <t>Todas las pruebas del archivo pasan</t>
        </is>
      </c>
      <c r="M80" s="5" t="inlineStr">
        <is>
          <t>2/2 pasan (corrida aislada; en paralelo con la suite completa la auth excede 150 ms)</t>
        </is>
      </c>
      <c r="N80" s="7" t="inlineStr">
        <is>
          <t>Aprobado</t>
        </is>
      </c>
      <c r="O80" s="5" t="inlineStr">
        <is>
          <t>2026-10-27</t>
        </is>
      </c>
      <c r="P80" s="5" t="inlineStr">
        <is>
          <t>docs/evidencia-final-equipo/vitest-performance-aislado.json</t>
        </is>
      </c>
      <c r="Q80" s="5" t="inlineStr">
        <is>
          <t>-</t>
        </is>
      </c>
    </row>
    <row r="81">
      <c r="A81" s="5" t="inlineStr">
        <is>
          <t>Tomás Henao</t>
        </is>
      </c>
      <c r="B81" s="5" t="inlineStr">
        <is>
          <t>Usuarios</t>
        </is>
      </c>
      <c r="C81" s="5" t="inlineStr">
        <is>
          <t>RF-04</t>
        </is>
      </c>
      <c r="D81" s="5" t="inlineStr">
        <is>
          <t>Autenticación de usuario</t>
        </is>
      </c>
      <c r="E81" s="5" t="inlineStr">
        <is>
          <t>Vitest backend · regresión</t>
        </is>
      </c>
      <c r="F81" s="5" t="inlineStr">
        <is>
          <t>VT-auth.regression.test</t>
        </is>
      </c>
      <c r="G81" s="5" t="inlineStr">
        <is>
          <t>auth.regression.test.ts (2 pruebas)</t>
        </is>
      </c>
      <c r="H81" s="5" t="inlineStr">
        <is>
          <t>Unitaria / Integración</t>
        </is>
      </c>
      <c r="I81" s="5" t="inlineStr">
        <is>
          <t>Funcional</t>
        </is>
      </c>
      <c r="J81" s="5" t="inlineStr">
        <is>
          <t>Vitest backend</t>
        </is>
      </c>
      <c r="K81" s="5" t="inlineStr">
        <is>
          <t>backend/src/tests/regression/auth.regression.test.ts</t>
        </is>
      </c>
      <c r="L81" s="5" t="inlineStr">
        <is>
          <t>Todas las pruebas del archivo pasan</t>
        </is>
      </c>
      <c r="M81" s="5" t="inlineStr">
        <is>
          <t>2/2 pasan</t>
        </is>
      </c>
      <c r="N81" s="7" t="inlineStr">
        <is>
          <t>Aprobado</t>
        </is>
      </c>
      <c r="O81" s="5" t="inlineStr">
        <is>
          <t>2026-10-27</t>
        </is>
      </c>
      <c r="P81" s="5" t="inlineStr">
        <is>
          <t>docs/evidencia-final-equipo/vitest-backend.json</t>
        </is>
      </c>
      <c r="Q81" s="5" t="inlineStr">
        <is>
          <t>-</t>
        </is>
      </c>
    </row>
    <row r="82">
      <c r="A82" s="5" t="inlineStr">
        <is>
          <t>Tomás Henao</t>
        </is>
      </c>
      <c r="B82" s="5" t="inlineStr">
        <is>
          <t>Usuarios</t>
        </is>
      </c>
      <c r="C82" s="5" t="inlineStr">
        <is>
          <t>RF-04</t>
        </is>
      </c>
      <c r="D82" s="5" t="inlineStr">
        <is>
          <t>Autenticación de usuario</t>
        </is>
      </c>
      <c r="E82" s="5" t="inlineStr">
        <is>
          <t>Vitest backend · seguridad</t>
        </is>
      </c>
      <c r="F82" s="5" t="inlineStr">
        <is>
          <t>VT-auth.security.test</t>
        </is>
      </c>
      <c r="G82" s="5" t="inlineStr">
        <is>
          <t>auth.security.test.ts (3 pruebas)</t>
        </is>
      </c>
      <c r="H82" s="5" t="inlineStr">
        <is>
          <t>Unitaria / Integración</t>
        </is>
      </c>
      <c r="I82" s="5" t="inlineStr">
        <is>
          <t>Seguridad</t>
        </is>
      </c>
      <c r="J82" s="5" t="inlineStr">
        <is>
          <t>Vitest backend</t>
        </is>
      </c>
      <c r="K82" s="5" t="inlineStr">
        <is>
          <t>backend/src/tests/security/auth.security.test.ts</t>
        </is>
      </c>
      <c r="L82" s="5" t="inlineStr">
        <is>
          <t>Todas las pruebas del archivo pasan</t>
        </is>
      </c>
      <c r="M82" s="5" t="inlineStr">
        <is>
          <t>3/3 pasan</t>
        </is>
      </c>
      <c r="N82" s="7" t="inlineStr">
        <is>
          <t>Aprobado</t>
        </is>
      </c>
      <c r="O82" s="5" t="inlineStr">
        <is>
          <t>2026-10-27</t>
        </is>
      </c>
      <c r="P82" s="5" t="inlineStr">
        <is>
          <t>docs/evidencia-final-equipo/vitest-backend.json</t>
        </is>
      </c>
      <c r="Q82" s="5" t="inlineStr">
        <is>
          <t>-</t>
        </is>
      </c>
    </row>
    <row r="83">
      <c r="A83" s="5" t="inlineStr">
        <is>
          <t>Tomás Henao</t>
        </is>
      </c>
      <c r="B83" s="5" t="inlineStr">
        <is>
          <t>Usuarios</t>
        </is>
      </c>
      <c r="C83" s="5" t="inlineStr">
        <is>
          <t>RF-04</t>
        </is>
      </c>
      <c r="D83" s="5" t="inlineStr">
        <is>
          <t>Autenticación de usuario</t>
        </is>
      </c>
      <c r="E83" s="5" t="inlineStr">
        <is>
          <t>Vitest backend · unitaria</t>
        </is>
      </c>
      <c r="F83" s="5" t="inlineStr">
        <is>
          <t>VT-auth.validators.test</t>
        </is>
      </c>
      <c r="G83" s="5" t="inlineStr">
        <is>
          <t>auth.validators.test.ts (20 pruebas)</t>
        </is>
      </c>
      <c r="H83" s="5" t="inlineStr">
        <is>
          <t>Unitaria / Integración</t>
        </is>
      </c>
      <c r="I83" s="5" t="inlineStr">
        <is>
          <t>Funcional</t>
        </is>
      </c>
      <c r="J83" s="5" t="inlineStr">
        <is>
          <t>Vitest backend</t>
        </is>
      </c>
      <c r="K83" s="5" t="inlineStr">
        <is>
          <t>backend/src/tests/unit/auth/auth.validators.test.ts</t>
        </is>
      </c>
      <c r="L83" s="5" t="inlineStr">
        <is>
          <t>Todas las pruebas del archivo pasan</t>
        </is>
      </c>
      <c r="M83" s="5" t="inlineStr">
        <is>
          <t>20/20 pasan</t>
        </is>
      </c>
      <c r="N83" s="7" t="inlineStr">
        <is>
          <t>Aprobado</t>
        </is>
      </c>
      <c r="O83" s="5" t="inlineStr">
        <is>
          <t>2026-10-27</t>
        </is>
      </c>
      <c r="P83" s="5" t="inlineStr">
        <is>
          <t>docs/evidencia-final-equipo/vitest-backend.json</t>
        </is>
      </c>
      <c r="Q83" s="5" t="inlineStr">
        <is>
          <t>-</t>
        </is>
      </c>
    </row>
    <row r="84">
      <c r="A84" s="5" t="inlineStr">
        <is>
          <t>Tomás Henao</t>
        </is>
      </c>
      <c r="B84" s="5" t="inlineStr">
        <is>
          <t>Usuarios</t>
        </is>
      </c>
      <c r="C84" s="5" t="inlineStr">
        <is>
          <t>RF-04</t>
        </is>
      </c>
      <c r="D84" s="5" t="inlineStr">
        <is>
          <t>Autenticación de usuario</t>
        </is>
      </c>
      <c r="E84" s="5" t="inlineStr">
        <is>
          <t>Vitest backend · unitaria</t>
        </is>
      </c>
      <c r="F84" s="5" t="inlineStr">
        <is>
          <t>VT-authMiddleware.test</t>
        </is>
      </c>
      <c r="G84" s="5" t="inlineStr">
        <is>
          <t>authMiddleware.test.ts (5 pruebas)</t>
        </is>
      </c>
      <c r="H84" s="5" t="inlineStr">
        <is>
          <t>Unitaria / Integración</t>
        </is>
      </c>
      <c r="I84" s="5" t="inlineStr">
        <is>
          <t>Funcional</t>
        </is>
      </c>
      <c r="J84" s="5" t="inlineStr">
        <is>
          <t>Vitest backend</t>
        </is>
      </c>
      <c r="K84" s="5" t="inlineStr">
        <is>
          <t>backend/src/tests/unit/auth/authMiddleware.test.ts</t>
        </is>
      </c>
      <c r="L84" s="5" t="inlineStr">
        <is>
          <t>Todas las pruebas del archivo pasan</t>
        </is>
      </c>
      <c r="M84" s="5" t="inlineStr">
        <is>
          <t>5/5 pasan</t>
        </is>
      </c>
      <c r="N84" s="7" t="inlineStr">
        <is>
          <t>Aprobado</t>
        </is>
      </c>
      <c r="O84" s="5" t="inlineStr">
        <is>
          <t>2026-10-27</t>
        </is>
      </c>
      <c r="P84" s="5" t="inlineStr">
        <is>
          <t>docs/evidencia-final-equipo/vitest-backend.json</t>
        </is>
      </c>
      <c r="Q84" s="5" t="inlineStr">
        <is>
          <t>-</t>
        </is>
      </c>
    </row>
    <row r="85">
      <c r="A85" s="5" t="inlineStr">
        <is>
          <t>Tomás Henao</t>
        </is>
      </c>
      <c r="B85" s="5" t="inlineStr">
        <is>
          <t>Usuarios</t>
        </is>
      </c>
      <c r="C85" s="5" t="inlineStr">
        <is>
          <t>RF-04</t>
        </is>
      </c>
      <c r="D85" s="5" t="inlineStr">
        <is>
          <t>Autenticación de usuario</t>
        </is>
      </c>
      <c r="E85" s="5" t="inlineStr">
        <is>
          <t>Vitest backend · unitaria</t>
        </is>
      </c>
      <c r="F85" s="5" t="inlineStr">
        <is>
          <t>VT-tokenServices.test</t>
        </is>
      </c>
      <c r="G85" s="5" t="inlineStr">
        <is>
          <t>tokenServices.test.ts (5 pruebas)</t>
        </is>
      </c>
      <c r="H85" s="5" t="inlineStr">
        <is>
          <t>Unitaria / Integración</t>
        </is>
      </c>
      <c r="I85" s="5" t="inlineStr">
        <is>
          <t>Funcional</t>
        </is>
      </c>
      <c r="J85" s="5" t="inlineStr">
        <is>
          <t>Vitest backend</t>
        </is>
      </c>
      <c r="K85" s="5" t="inlineStr">
        <is>
          <t>backend/src/tests/unit/auth/tokenServices.test.ts</t>
        </is>
      </c>
      <c r="L85" s="5" t="inlineStr">
        <is>
          <t>Todas las pruebas del archivo pasan</t>
        </is>
      </c>
      <c r="M85" s="5" t="inlineStr">
        <is>
          <t>5/5 pasan</t>
        </is>
      </c>
      <c r="N85" s="7" t="inlineStr">
        <is>
          <t>Aprobado</t>
        </is>
      </c>
      <c r="O85" s="5" t="inlineStr">
        <is>
          <t>2026-10-27</t>
        </is>
      </c>
      <c r="P85" s="5" t="inlineStr">
        <is>
          <t>docs/evidencia-final-equipo/vitest-backend.json</t>
        </is>
      </c>
      <c r="Q85" s="5" t="inlineStr">
        <is>
          <t>-</t>
        </is>
      </c>
    </row>
    <row r="86">
      <c r="A86" s="5" t="inlineStr">
        <is>
          <t>Tomás Henao</t>
        </is>
      </c>
      <c r="B86" s="5" t="inlineStr">
        <is>
          <t>Usuarios</t>
        </is>
      </c>
      <c r="C86" s="5" t="inlineStr">
        <is>
          <t>RF-04</t>
        </is>
      </c>
      <c r="D86" s="5" t="inlineStr">
        <is>
          <t>Autenticación de usuario</t>
        </is>
      </c>
      <c r="E86" s="5" t="inlineStr">
        <is>
          <t>Vitest frontend · unitaria</t>
        </is>
      </c>
      <c r="F86" s="5" t="inlineStr">
        <is>
          <t>VT-LoginForm.test</t>
        </is>
      </c>
      <c r="G86" s="5" t="inlineStr">
        <is>
          <t>LoginForm.test.tsx (4 pruebas)</t>
        </is>
      </c>
      <c r="H86" s="5" t="inlineStr">
        <is>
          <t>Unitaria / Integración</t>
        </is>
      </c>
      <c r="I86" s="5" t="inlineStr">
        <is>
          <t>Funcional</t>
        </is>
      </c>
      <c r="J86" s="5" t="inlineStr">
        <is>
          <t>Vitest frontend</t>
        </is>
      </c>
      <c r="K86" s="5" t="inlineStr">
        <is>
          <t>frontend/src/tests/unit/auth/LoginForm.test.tsx</t>
        </is>
      </c>
      <c r="L86" s="5" t="inlineStr">
        <is>
          <t>Todas las pruebas del archivo pasan</t>
        </is>
      </c>
      <c r="M86" s="5" t="inlineStr">
        <is>
          <t>4/4 pasan</t>
        </is>
      </c>
      <c r="N86" s="7" t="inlineStr">
        <is>
          <t>Aprobado</t>
        </is>
      </c>
      <c r="O86" s="5" t="inlineStr">
        <is>
          <t>2026-10-27</t>
        </is>
      </c>
      <c r="P86" s="5" t="inlineStr">
        <is>
          <t>docs/evidencia-final-equipo/vitest-frontend.json</t>
        </is>
      </c>
      <c r="Q86" s="5" t="inlineStr">
        <is>
          <t>-</t>
        </is>
      </c>
    </row>
    <row r="87">
      <c r="A87" s="5" t="inlineStr">
        <is>
          <t>Tomás Henao</t>
        </is>
      </c>
      <c r="B87" s="5" t="inlineStr">
        <is>
          <t>Usuarios</t>
        </is>
      </c>
      <c r="C87" s="5" t="inlineStr">
        <is>
          <t>RF-04</t>
        </is>
      </c>
      <c r="D87" s="5" t="inlineStr">
        <is>
          <t>Autenticación de usuario</t>
        </is>
      </c>
      <c r="E87" s="5" t="inlineStr">
        <is>
          <t>Vitest frontend · unitaria</t>
        </is>
      </c>
      <c r="F87" s="5" t="inlineStr">
        <is>
          <t>VT-LoginForm.test</t>
        </is>
      </c>
      <c r="G87" s="5" t="inlineStr">
        <is>
          <t>LoginForm.test.tsx (4 pruebas)</t>
        </is>
      </c>
      <c r="H87" s="5" t="inlineStr">
        <is>
          <t>Unitaria / Integración</t>
        </is>
      </c>
      <c r="I87" s="5" t="inlineStr">
        <is>
          <t>Funcional</t>
        </is>
      </c>
      <c r="J87" s="5" t="inlineStr">
        <is>
          <t>Vitest frontend</t>
        </is>
      </c>
      <c r="K87" s="5" t="inlineStr">
        <is>
          <t>frontend/src/tests/unit/components/LoginForm.test.tsx</t>
        </is>
      </c>
      <c r="L87" s="5" t="inlineStr">
        <is>
          <t>Todas las pruebas del archivo pasan</t>
        </is>
      </c>
      <c r="M87" s="5" t="inlineStr">
        <is>
          <t>4/4 pasan</t>
        </is>
      </c>
      <c r="N87" s="7" t="inlineStr">
        <is>
          <t>Aprobado</t>
        </is>
      </c>
      <c r="O87" s="5" t="inlineStr">
        <is>
          <t>2026-10-27</t>
        </is>
      </c>
      <c r="P87" s="5" t="inlineStr">
        <is>
          <t>docs/evidencia-final-equipo/vitest-frontend.json</t>
        </is>
      </c>
      <c r="Q87" s="5" t="inlineStr">
        <is>
          <t>-</t>
        </is>
      </c>
    </row>
    <row r="88">
      <c r="A88" s="5" t="inlineStr">
        <is>
          <t>Tomás Henao</t>
        </is>
      </c>
      <c r="B88" s="5" t="inlineStr">
        <is>
          <t>Usuarios</t>
        </is>
      </c>
      <c r="C88" s="5" t="inlineStr">
        <is>
          <t>RF-04</t>
        </is>
      </c>
      <c r="D88" s="5" t="inlineStr">
        <is>
          <t>Autenticación de usuario</t>
        </is>
      </c>
      <c r="E88" s="5" t="inlineStr">
        <is>
          <t>Vitest frontend · unitaria</t>
        </is>
      </c>
      <c r="F88" s="5" t="inlineStr">
        <is>
          <t>VT-auth.schemas.test</t>
        </is>
      </c>
      <c r="G88" s="5" t="inlineStr">
        <is>
          <t>auth.schemas.test.ts (6 pruebas)</t>
        </is>
      </c>
      <c r="H88" s="5" t="inlineStr">
        <is>
          <t>Unitaria / Integración</t>
        </is>
      </c>
      <c r="I88" s="5" t="inlineStr">
        <is>
          <t>Funcional</t>
        </is>
      </c>
      <c r="J88" s="5" t="inlineStr">
        <is>
          <t>Vitest frontend</t>
        </is>
      </c>
      <c r="K88" s="5" t="inlineStr">
        <is>
          <t>frontend/src/tests/unit/auth/auth.schemas.test.ts</t>
        </is>
      </c>
      <c r="L88" s="5" t="inlineStr">
        <is>
          <t>Todas las pruebas del archivo pasan</t>
        </is>
      </c>
      <c r="M88" s="5" t="inlineStr">
        <is>
          <t>6/6 pasan</t>
        </is>
      </c>
      <c r="N88" s="7" t="inlineStr">
        <is>
          <t>Aprobado</t>
        </is>
      </c>
      <c r="O88" s="5" t="inlineStr">
        <is>
          <t>2026-10-27</t>
        </is>
      </c>
      <c r="P88" s="5" t="inlineStr">
        <is>
          <t>docs/evidencia-final-equipo/vitest-frontend.json</t>
        </is>
      </c>
      <c r="Q88" s="5" t="inlineStr">
        <is>
          <t>-</t>
        </is>
      </c>
    </row>
    <row r="89">
      <c r="A89" s="5" t="inlineStr">
        <is>
          <t>Tomás Henao</t>
        </is>
      </c>
      <c r="B89" s="5" t="inlineStr">
        <is>
          <t>Usuarios</t>
        </is>
      </c>
      <c r="C89" s="5" t="inlineStr">
        <is>
          <t>RF-04</t>
        </is>
      </c>
      <c r="D89" s="5" t="inlineStr">
        <is>
          <t>Autenticación de usuario</t>
        </is>
      </c>
      <c r="E89" s="5" t="inlineStr">
        <is>
          <t>Vitest frontend · unitaria</t>
        </is>
      </c>
      <c r="F89" s="5" t="inlineStr">
        <is>
          <t>VT-auth.schemas.test</t>
        </is>
      </c>
      <c r="G89" s="5" t="inlineStr">
        <is>
          <t>auth.schemas.test.ts (6 pruebas)</t>
        </is>
      </c>
      <c r="H89" s="5" t="inlineStr">
        <is>
          <t>Unitaria / Integración</t>
        </is>
      </c>
      <c r="I89" s="5" t="inlineStr">
        <is>
          <t>Funcional</t>
        </is>
      </c>
      <c r="J89" s="5" t="inlineStr">
        <is>
          <t>Vitest frontend</t>
        </is>
      </c>
      <c r="K89" s="5" t="inlineStr">
        <is>
          <t>frontend/src/tests/unit/schemas/auth.schemas.test.ts</t>
        </is>
      </c>
      <c r="L89" s="5" t="inlineStr">
        <is>
          <t>Todas las pruebas del archivo pasan</t>
        </is>
      </c>
      <c r="M89" s="5" t="inlineStr">
        <is>
          <t>6/6 pasan</t>
        </is>
      </c>
      <c r="N89" s="7" t="inlineStr">
        <is>
          <t>Aprobado</t>
        </is>
      </c>
      <c r="O89" s="5" t="inlineStr">
        <is>
          <t>2026-10-27</t>
        </is>
      </c>
      <c r="P89" s="5" t="inlineStr">
        <is>
          <t>docs/evidencia-final-equipo/vitest-frontend.json</t>
        </is>
      </c>
      <c r="Q89" s="5" t="inlineStr">
        <is>
          <t>-</t>
        </is>
      </c>
    </row>
    <row r="90">
      <c r="A90" s="5" t="inlineStr">
        <is>
          <t>Tomás Henao</t>
        </is>
      </c>
      <c r="B90" s="5" t="inlineStr">
        <is>
          <t>Usuarios</t>
        </is>
      </c>
      <c r="C90" s="5" t="inlineStr">
        <is>
          <t>RF-04</t>
        </is>
      </c>
      <c r="D90" s="5" t="inlineStr">
        <is>
          <t>Autenticación de usuario</t>
        </is>
      </c>
      <c r="E90" s="5" t="inlineStr">
        <is>
          <t>Vitest frontend · unitaria</t>
        </is>
      </c>
      <c r="F90" s="5" t="inlineStr">
        <is>
          <t>VT-auth.service.test</t>
        </is>
      </c>
      <c r="G90" s="5" t="inlineStr">
        <is>
          <t>auth.service.test.ts (7 pruebas)</t>
        </is>
      </c>
      <c r="H90" s="5" t="inlineStr">
        <is>
          <t>Unitaria / Integración</t>
        </is>
      </c>
      <c r="I90" s="5" t="inlineStr">
        <is>
          <t>Funcional</t>
        </is>
      </c>
      <c r="J90" s="5" t="inlineStr">
        <is>
          <t>Vitest frontend</t>
        </is>
      </c>
      <c r="K90" s="5" t="inlineStr">
        <is>
          <t>frontend/src/tests/unit/auth/auth.service.test.ts</t>
        </is>
      </c>
      <c r="L90" s="5" t="inlineStr">
        <is>
          <t>Todas las pruebas del archivo pasan</t>
        </is>
      </c>
      <c r="M90" s="5" t="inlineStr">
        <is>
          <t>7/7 pasan</t>
        </is>
      </c>
      <c r="N90" s="7" t="inlineStr">
        <is>
          <t>Aprobado</t>
        </is>
      </c>
      <c r="O90" s="5" t="inlineStr">
        <is>
          <t>2026-10-27</t>
        </is>
      </c>
      <c r="P90" s="5" t="inlineStr">
        <is>
          <t>docs/evidencia-final-equipo/vitest-frontend.json</t>
        </is>
      </c>
      <c r="Q90" s="5" t="inlineStr">
        <is>
          <t>-</t>
        </is>
      </c>
    </row>
    <row r="91">
      <c r="A91" s="5" t="inlineStr">
        <is>
          <t>Tomás Henao</t>
        </is>
      </c>
      <c r="B91" s="5" t="inlineStr">
        <is>
          <t>Usuarios</t>
        </is>
      </c>
      <c r="C91" s="5" t="inlineStr">
        <is>
          <t>RF-04</t>
        </is>
      </c>
      <c r="D91" s="5" t="inlineStr">
        <is>
          <t>Autenticación de usuario</t>
        </is>
      </c>
      <c r="E91" s="5" t="inlineStr">
        <is>
          <t>Vitest frontend · unitaria</t>
        </is>
      </c>
      <c r="F91" s="5" t="inlineStr">
        <is>
          <t>VT-auth.service.test</t>
        </is>
      </c>
      <c r="G91" s="5" t="inlineStr">
        <is>
          <t>auth.service.test.ts (7 pruebas)</t>
        </is>
      </c>
      <c r="H91" s="5" t="inlineStr">
        <is>
          <t>Unitaria / Integración</t>
        </is>
      </c>
      <c r="I91" s="5" t="inlineStr">
        <is>
          <t>Funcional</t>
        </is>
      </c>
      <c r="J91" s="5" t="inlineStr">
        <is>
          <t>Vitest frontend</t>
        </is>
      </c>
      <c r="K91" s="5" t="inlineStr">
        <is>
          <t>frontend/src/tests/unit/services/auth.service.test.ts</t>
        </is>
      </c>
      <c r="L91" s="5" t="inlineStr">
        <is>
          <t>Todas las pruebas del archivo pasan</t>
        </is>
      </c>
      <c r="M91" s="5" t="inlineStr">
        <is>
          <t>7/7 pasan</t>
        </is>
      </c>
      <c r="N91" s="7" t="inlineStr">
        <is>
          <t>Aprobado</t>
        </is>
      </c>
      <c r="O91" s="5" t="inlineStr">
        <is>
          <t>2026-10-27</t>
        </is>
      </c>
      <c r="P91" s="5" t="inlineStr">
        <is>
          <t>docs/evidencia-final-equipo/vitest-frontend.json</t>
        </is>
      </c>
      <c r="Q91" s="5" t="inlineStr">
        <is>
          <t>-</t>
        </is>
      </c>
    </row>
    <row r="92">
      <c r="A92" s="5" t="inlineStr">
        <is>
          <t>Tomás Henao</t>
        </is>
      </c>
      <c r="B92" s="5" t="inlineStr">
        <is>
          <t>Usuarios</t>
        </is>
      </c>
      <c r="C92" s="5" t="inlineStr">
        <is>
          <t>RF-04</t>
        </is>
      </c>
      <c r="D92" s="5" t="inlineStr">
        <is>
          <t>Autenticación de usuario</t>
        </is>
      </c>
      <c r="E92" s="5" t="inlineStr">
        <is>
          <t>Vitest frontend · unitaria</t>
        </is>
      </c>
      <c r="F92" s="5" t="inlineStr">
        <is>
          <t>VT-useLogin.test</t>
        </is>
      </c>
      <c r="G92" s="5" t="inlineStr">
        <is>
          <t>useLogin.test.ts (3 pruebas)</t>
        </is>
      </c>
      <c r="H92" s="5" t="inlineStr">
        <is>
          <t>Unitaria / Integración</t>
        </is>
      </c>
      <c r="I92" s="5" t="inlineStr">
        <is>
          <t>Funcional</t>
        </is>
      </c>
      <c r="J92" s="5" t="inlineStr">
        <is>
          <t>Vitest frontend</t>
        </is>
      </c>
      <c r="K92" s="5" t="inlineStr">
        <is>
          <t>frontend/src/tests/unit/auth/useLogin.test.ts</t>
        </is>
      </c>
      <c r="L92" s="5" t="inlineStr">
        <is>
          <t>Todas las pruebas del archivo pasan</t>
        </is>
      </c>
      <c r="M92" s="5" t="inlineStr">
        <is>
          <t>3/3 pasan</t>
        </is>
      </c>
      <c r="N92" s="7" t="inlineStr">
        <is>
          <t>Aprobado</t>
        </is>
      </c>
      <c r="O92" s="5" t="inlineStr">
        <is>
          <t>2026-10-27</t>
        </is>
      </c>
      <c r="P92" s="5" t="inlineStr">
        <is>
          <t>docs/evidencia-final-equipo/vitest-frontend.json</t>
        </is>
      </c>
      <c r="Q92" s="5" t="inlineStr">
        <is>
          <t>-</t>
        </is>
      </c>
    </row>
    <row r="93">
      <c r="A93" s="5" t="inlineStr">
        <is>
          <t>Tomás Henao</t>
        </is>
      </c>
      <c r="B93" s="5" t="inlineStr">
        <is>
          <t>Usuarios</t>
        </is>
      </c>
      <c r="C93" s="5" t="inlineStr">
        <is>
          <t>RF-04</t>
        </is>
      </c>
      <c r="D93" s="5" t="inlineStr">
        <is>
          <t>Autenticación de usuario</t>
        </is>
      </c>
      <c r="E93" s="5" t="inlineStr">
        <is>
          <t>Vitest frontend · unitaria</t>
        </is>
      </c>
      <c r="F93" s="5" t="inlineStr">
        <is>
          <t>VT-useLogin.test</t>
        </is>
      </c>
      <c r="G93" s="5" t="inlineStr">
        <is>
          <t>useLogin.test.ts (3 pruebas)</t>
        </is>
      </c>
      <c r="H93" s="5" t="inlineStr">
        <is>
          <t>Unitaria / Integración</t>
        </is>
      </c>
      <c r="I93" s="5" t="inlineStr">
        <is>
          <t>Funcional</t>
        </is>
      </c>
      <c r="J93" s="5" t="inlineStr">
        <is>
          <t>Vitest frontend</t>
        </is>
      </c>
      <c r="K93" s="5" t="inlineStr">
        <is>
          <t>frontend/src/tests/unit/hooks/useLogin.test.ts</t>
        </is>
      </c>
      <c r="L93" s="5" t="inlineStr">
        <is>
          <t>Todas las pruebas del archivo pasan</t>
        </is>
      </c>
      <c r="M93" s="5" t="inlineStr">
        <is>
          <t>3/3 pasan</t>
        </is>
      </c>
      <c r="N93" s="7" t="inlineStr">
        <is>
          <t>Aprobado</t>
        </is>
      </c>
      <c r="O93" s="5" t="inlineStr">
        <is>
          <t>2026-10-27</t>
        </is>
      </c>
      <c r="P93" s="5" t="inlineStr">
        <is>
          <t>docs/evidencia-final-equipo/vitest-frontend.json</t>
        </is>
      </c>
      <c r="Q93" s="5" t="inlineStr">
        <is>
          <t>-</t>
        </is>
      </c>
    </row>
    <row r="94">
      <c r="A94" s="5" t="inlineStr">
        <is>
          <t>Tomás Henao</t>
        </is>
      </c>
      <c r="B94" s="5" t="inlineStr">
        <is>
          <t>Usuarios</t>
        </is>
      </c>
      <c r="C94" s="5" t="inlineStr">
        <is>
          <t>RF-09</t>
        </is>
      </c>
      <c r="D94" s="5" t="inlineStr">
        <is>
          <t>Restablecimiento seguro de contraseña</t>
        </is>
      </c>
      <c r="E94" s="5" t="inlineStr">
        <is>
          <t>ESC071</t>
        </is>
      </c>
      <c r="F94" s="5" t="inlineStr">
        <is>
          <t>TC263</t>
        </is>
      </c>
      <c r="G94" s="5" t="inlineStr">
        <is>
          <t>Correo registrado</t>
        </is>
      </c>
      <c r="H94" s="5" t="inlineStr">
        <is>
          <t>Sistema</t>
        </is>
      </c>
      <c r="I94" s="5" t="inlineStr">
        <is>
          <t>Funcional</t>
        </is>
      </c>
      <c r="J94" s="5" t="inlineStr">
        <is>
          <t>Casos del Excel (diseño + ejecución manual)</t>
        </is>
      </c>
      <c r="K94" s="5" t="inlineStr">
        <is>
          <t>Casos y Escenarios FuBank.xlsx</t>
        </is>
      </c>
      <c r="L94" s="5" t="inlineStr">
        <is>
          <t>Usuario solicita restablecer su contraseña utilizando un correo asociado a una cuenta existente.</t>
        </is>
      </c>
      <c r="M94" s="5" t="inlineStr">
        <is>
          <t>Sin resultado en el Excel</t>
        </is>
      </c>
      <c r="N94" s="6" t="inlineStr">
        <is>
          <t>Sin resultado registrado</t>
        </is>
      </c>
      <c r="O94" s="5" t="inlineStr">
        <is>
          <t>-</t>
        </is>
      </c>
      <c r="P94" s="5" t="inlineStr">
        <is>
          <t>Excel (hoja Casos de Prueba Detallado)</t>
        </is>
      </c>
      <c r="Q94" s="5" t="inlineStr">
        <is>
          <t>N/A</t>
        </is>
      </c>
    </row>
    <row r="95">
      <c r="A95" s="5" t="inlineStr">
        <is>
          <t>Tomás Henao</t>
        </is>
      </c>
      <c r="B95" s="5" t="inlineStr">
        <is>
          <t>Usuarios</t>
        </is>
      </c>
      <c r="C95" s="5" t="inlineStr">
        <is>
          <t>RF-09</t>
        </is>
      </c>
      <c r="D95" s="5" t="inlineStr">
        <is>
          <t>Restablecimiento seguro de contraseña</t>
        </is>
      </c>
      <c r="E95" s="5" t="inlineStr">
        <is>
          <t>ESC071</t>
        </is>
      </c>
      <c r="F95" s="5" t="inlineStr">
        <is>
          <t>TC264</t>
        </is>
      </c>
      <c r="G95" s="5" t="inlineStr">
        <is>
          <t>Correo no registrado</t>
        </is>
      </c>
      <c r="H95" s="5" t="inlineStr">
        <is>
          <t>Sistema</t>
        </is>
      </c>
      <c r="I95" s="5" t="inlineStr">
        <is>
          <t>Funcional</t>
        </is>
      </c>
      <c r="J95" s="5" t="inlineStr">
        <is>
          <t>Casos del Excel (diseño + ejecución manual)</t>
        </is>
      </c>
      <c r="K95" s="5" t="inlineStr">
        <is>
          <t>Casos y Escenarios FuBank.xlsx</t>
        </is>
      </c>
      <c r="L95" s="5" t="inlineStr">
        <is>
          <t>Usuario solicita restablecer su contraseña utilizando un correo que no está registrado en el sistema.</t>
        </is>
      </c>
      <c r="M95" s="5" t="inlineStr">
        <is>
          <t>Sin resultado en el Excel</t>
        </is>
      </c>
      <c r="N95" s="6" t="inlineStr">
        <is>
          <t>Sin resultado registrado</t>
        </is>
      </c>
      <c r="O95" s="5" t="inlineStr">
        <is>
          <t>-</t>
        </is>
      </c>
      <c r="P95" s="5" t="inlineStr">
        <is>
          <t>Excel (hoja Casos de Prueba Detallado)</t>
        </is>
      </c>
      <c r="Q95" s="5" t="inlineStr">
        <is>
          <t>N/A</t>
        </is>
      </c>
    </row>
    <row r="96">
      <c r="A96" s="5" t="inlineStr">
        <is>
          <t>Tomás Henao</t>
        </is>
      </c>
      <c r="B96" s="5" t="inlineStr">
        <is>
          <t>Usuarios</t>
        </is>
      </c>
      <c r="C96" s="5" t="inlineStr">
        <is>
          <t>RF-09</t>
        </is>
      </c>
      <c r="D96" s="5" t="inlineStr">
        <is>
          <t>Restablecimiento seguro de contraseña</t>
        </is>
      </c>
      <c r="E96" s="5" t="inlineStr">
        <is>
          <t>ESC071</t>
        </is>
      </c>
      <c r="F96" s="5" t="inlineStr">
        <is>
          <t>TC265</t>
        </is>
      </c>
      <c r="G96" s="5" t="inlineStr">
        <is>
          <t>Correo vacío</t>
        </is>
      </c>
      <c r="H96" s="5" t="inlineStr">
        <is>
          <t>Sistema</t>
        </is>
      </c>
      <c r="I96" s="5" t="inlineStr">
        <is>
          <t>Funcional</t>
        </is>
      </c>
      <c r="J96" s="5" t="inlineStr">
        <is>
          <t>Casos del Excel (diseño + ejecución manual)</t>
        </is>
      </c>
      <c r="K96" s="5" t="inlineStr">
        <is>
          <t>Casos y Escenarios FuBank.xlsx</t>
        </is>
      </c>
      <c r="L96" s="5" t="inlineStr">
        <is>
          <t>Usuario intenta solicitar el restablecimiento sin proporcionar un correo electrónico.</t>
        </is>
      </c>
      <c r="M96" s="5" t="inlineStr">
        <is>
          <t>Sin resultado en el Excel</t>
        </is>
      </c>
      <c r="N96" s="6" t="inlineStr">
        <is>
          <t>Sin resultado registrado</t>
        </is>
      </c>
      <c r="O96" s="5" t="inlineStr">
        <is>
          <t>-</t>
        </is>
      </c>
      <c r="P96" s="5" t="inlineStr">
        <is>
          <t>Excel (hoja Casos de Prueba Detallado)</t>
        </is>
      </c>
      <c r="Q96" s="5" t="inlineStr">
        <is>
          <t>N/A</t>
        </is>
      </c>
    </row>
    <row r="97">
      <c r="A97" s="5" t="inlineStr">
        <is>
          <t>Tomás Henao</t>
        </is>
      </c>
      <c r="B97" s="5" t="inlineStr">
        <is>
          <t>Usuarios</t>
        </is>
      </c>
      <c r="C97" s="5" t="inlineStr">
        <is>
          <t>RF-09</t>
        </is>
      </c>
      <c r="D97" s="5" t="inlineStr">
        <is>
          <t>Restablecimiento seguro de contraseña</t>
        </is>
      </c>
      <c r="E97" s="5" t="inlineStr">
        <is>
          <t>ESC071</t>
        </is>
      </c>
      <c r="F97" s="5" t="inlineStr">
        <is>
          <t>TC266</t>
        </is>
      </c>
      <c r="G97" s="5" t="inlineStr">
        <is>
          <t>Correo con formato inválido</t>
        </is>
      </c>
      <c r="H97" s="5" t="inlineStr">
        <is>
          <t>Sistema</t>
        </is>
      </c>
      <c r="I97" s="5" t="inlineStr">
        <is>
          <t>Funcional</t>
        </is>
      </c>
      <c r="J97" s="5" t="inlineStr">
        <is>
          <t>Casos del Excel (diseño + ejecución manual)</t>
        </is>
      </c>
      <c r="K97" s="5" t="inlineStr">
        <is>
          <t>Casos y Escenarios FuBank.xlsx</t>
        </is>
      </c>
      <c r="L97" s="5" t="inlineStr">
        <is>
          <t>Usuario proporciona un valor que no cumple con el formato esperado de correo electrónico.</t>
        </is>
      </c>
      <c r="M97" s="5" t="inlineStr">
        <is>
          <t>Sin resultado en el Excel</t>
        </is>
      </c>
      <c r="N97" s="6" t="inlineStr">
        <is>
          <t>Sin resultado registrado</t>
        </is>
      </c>
      <c r="O97" s="5" t="inlineStr">
        <is>
          <t>-</t>
        </is>
      </c>
      <c r="P97" s="5" t="inlineStr">
        <is>
          <t>Excel (hoja Casos de Prueba Detallado)</t>
        </is>
      </c>
      <c r="Q97" s="5" t="inlineStr">
        <is>
          <t>N/A</t>
        </is>
      </c>
    </row>
    <row r="98">
      <c r="A98" s="5" t="inlineStr">
        <is>
          <t>Tomás Henao</t>
        </is>
      </c>
      <c r="B98" s="5" t="inlineStr">
        <is>
          <t>Usuarios</t>
        </is>
      </c>
      <c r="C98" s="5" t="inlineStr">
        <is>
          <t>RF-09</t>
        </is>
      </c>
      <c r="D98" s="5" t="inlineStr">
        <is>
          <t>Restablecimiento seguro de contraseña</t>
        </is>
      </c>
      <c r="E98" s="5" t="inlineStr">
        <is>
          <t>ESC071</t>
        </is>
      </c>
      <c r="F98" s="5" t="inlineStr">
        <is>
          <t>TC268</t>
        </is>
      </c>
      <c r="G98" s="5" t="inlineStr">
        <is>
          <t>Correo con espacios</t>
        </is>
      </c>
      <c r="H98" s="5" t="inlineStr">
        <is>
          <t>Sistema</t>
        </is>
      </c>
      <c r="I98" s="5" t="inlineStr">
        <is>
          <t>Funcional</t>
        </is>
      </c>
      <c r="J98" s="5" t="inlineStr">
        <is>
          <t>Casos del Excel (diseño + ejecución manual)</t>
        </is>
      </c>
      <c r="K98" s="5" t="inlineStr">
        <is>
          <t>Casos y Escenarios FuBank.xlsx</t>
        </is>
      </c>
      <c r="L98" s="5" t="inlineStr">
        <is>
          <t>Usuario proporciona el correo registrado con espacios adicionales al inicio o al final.</t>
        </is>
      </c>
      <c r="M98" s="5" t="inlineStr">
        <is>
          <t>Sin resultado en el Excel</t>
        </is>
      </c>
      <c r="N98" s="6" t="inlineStr">
        <is>
          <t>Sin resultado registrado</t>
        </is>
      </c>
      <c r="O98" s="5" t="inlineStr">
        <is>
          <t>-</t>
        </is>
      </c>
      <c r="P98" s="5" t="inlineStr">
        <is>
          <t>Excel (hoja Casos de Prueba Detallado)</t>
        </is>
      </c>
      <c r="Q98" s="5" t="inlineStr">
        <is>
          <t>N/A</t>
        </is>
      </c>
    </row>
    <row r="99">
      <c r="A99" s="5" t="inlineStr">
        <is>
          <t>Tomás Henao</t>
        </is>
      </c>
      <c r="B99" s="5" t="inlineStr">
        <is>
          <t>Usuarios</t>
        </is>
      </c>
      <c r="C99" s="5" t="inlineStr">
        <is>
          <t>RF-09</t>
        </is>
      </c>
      <c r="D99" s="5" t="inlineStr">
        <is>
          <t>Restablecimiento seguro de contraseña</t>
        </is>
      </c>
      <c r="E99" s="5" t="inlineStr">
        <is>
          <t>ESC072</t>
        </is>
      </c>
      <c r="F99" s="5" t="inlineStr">
        <is>
          <t>TC269</t>
        </is>
      </c>
      <c r="G99" s="5" t="inlineStr">
        <is>
          <t>Código expirado</t>
        </is>
      </c>
      <c r="H99" s="5" t="inlineStr">
        <is>
          <t>Sistema</t>
        </is>
      </c>
      <c r="I99" s="5" t="inlineStr">
        <is>
          <t>Seguridad</t>
        </is>
      </c>
      <c r="J99" s="5" t="inlineStr">
        <is>
          <t>Casos del Excel (diseño + ejecución manual)</t>
        </is>
      </c>
      <c r="K99" s="5" t="inlineStr">
        <is>
          <t>Casos y Escenarios FuBank.xlsx</t>
        </is>
      </c>
      <c r="L99" s="5" t="inlineStr">
        <is>
          <t>Usuario intenta utilizar el código después de superar el tiempo de validez establecido.</t>
        </is>
      </c>
      <c r="M99" s="5" t="inlineStr">
        <is>
          <t>Sin resultado en el Excel</t>
        </is>
      </c>
      <c r="N99" s="6" t="inlineStr">
        <is>
          <t>Sin resultado registrado</t>
        </is>
      </c>
      <c r="O99" s="5" t="inlineStr">
        <is>
          <t>-</t>
        </is>
      </c>
      <c r="P99" s="5" t="inlineStr">
        <is>
          <t>Excel (hoja Casos de Prueba Detallado)</t>
        </is>
      </c>
      <c r="Q99" s="5" t="inlineStr">
        <is>
          <t>N/A</t>
        </is>
      </c>
    </row>
    <row r="100">
      <c r="A100" s="5" t="inlineStr">
        <is>
          <t>Tomás Henao</t>
        </is>
      </c>
      <c r="B100" s="5" t="inlineStr">
        <is>
          <t>Usuarios</t>
        </is>
      </c>
      <c r="C100" s="5" t="inlineStr">
        <is>
          <t>RF-09</t>
        </is>
      </c>
      <c r="D100" s="5" t="inlineStr">
        <is>
          <t>Restablecimiento seguro de contraseña</t>
        </is>
      </c>
      <c r="E100" s="5" t="inlineStr">
        <is>
          <t>ESC072</t>
        </is>
      </c>
      <c r="F100" s="5" t="inlineStr">
        <is>
          <t>TC270</t>
        </is>
      </c>
      <c r="G100" s="5" t="inlineStr">
        <is>
          <t>Código utilizado nuevamente</t>
        </is>
      </c>
      <c r="H100" s="5" t="inlineStr">
        <is>
          <t>Sistema</t>
        </is>
      </c>
      <c r="I100" s="5" t="inlineStr">
        <is>
          <t>Seguridad</t>
        </is>
      </c>
      <c r="J100" s="5" t="inlineStr">
        <is>
          <t>Casos del Excel (diseño + ejecución manual)</t>
        </is>
      </c>
      <c r="K100" s="5" t="inlineStr">
        <is>
          <t>Casos y Escenarios FuBank.xlsx</t>
        </is>
      </c>
      <c r="L100" s="5" t="inlineStr">
        <is>
          <t>Usuario intenta utilizar un código que ya fue utilizado previamente para restablecer la contraseña.</t>
        </is>
      </c>
      <c r="M100" s="5" t="inlineStr">
        <is>
          <t>Sin resultado en el Excel</t>
        </is>
      </c>
      <c r="N100" s="6" t="inlineStr">
        <is>
          <t>Sin resultado registrado</t>
        </is>
      </c>
      <c r="O100" s="5" t="inlineStr">
        <is>
          <t>-</t>
        </is>
      </c>
      <c r="P100" s="5" t="inlineStr">
        <is>
          <t>Excel (hoja Casos de Prueba Detallado)</t>
        </is>
      </c>
      <c r="Q100" s="5" t="inlineStr">
        <is>
          <t>N/A</t>
        </is>
      </c>
    </row>
    <row r="101">
      <c r="A101" s="5" t="inlineStr">
        <is>
          <t>Tomás Henao</t>
        </is>
      </c>
      <c r="B101" s="5" t="inlineStr">
        <is>
          <t>Usuarios</t>
        </is>
      </c>
      <c r="C101" s="5" t="inlineStr">
        <is>
          <t>RF-09</t>
        </is>
      </c>
      <c r="D101" s="5" t="inlineStr">
        <is>
          <t>Restablecimiento seguro de contraseña</t>
        </is>
      </c>
      <c r="E101" s="5" t="inlineStr">
        <is>
          <t>ESC072</t>
        </is>
      </c>
      <c r="F101" s="5" t="inlineStr">
        <is>
          <t>TC271</t>
        </is>
      </c>
      <c r="G101" s="5" t="inlineStr">
        <is>
          <t>Código anterior después de solicitar uno nuevo</t>
        </is>
      </c>
      <c r="H101" s="5" t="inlineStr">
        <is>
          <t>Sistema</t>
        </is>
      </c>
      <c r="I101" s="5" t="inlineStr">
        <is>
          <t>Seguridad</t>
        </is>
      </c>
      <c r="J101" s="5" t="inlineStr">
        <is>
          <t>Casos del Excel (diseño + ejecución manual)</t>
        </is>
      </c>
      <c r="K101" s="5" t="inlineStr">
        <is>
          <t>Casos y Escenarios FuBank.xlsx</t>
        </is>
      </c>
      <c r="L101" s="5" t="inlineStr">
        <is>
          <t>Usuario solicita un nuevo código e intenta utilizar posteriormente el código anterior.</t>
        </is>
      </c>
      <c r="M101" s="5" t="inlineStr">
        <is>
          <t>Sin resultado en el Excel</t>
        </is>
      </c>
      <c r="N101" s="6" t="inlineStr">
        <is>
          <t>Sin resultado registrado</t>
        </is>
      </c>
      <c r="O101" s="5" t="inlineStr">
        <is>
          <t>-</t>
        </is>
      </c>
      <c r="P101" s="5" t="inlineStr">
        <is>
          <t>Excel (hoja Casos de Prueba Detallado)</t>
        </is>
      </c>
      <c r="Q101" s="5" t="inlineStr">
        <is>
          <t>N/A</t>
        </is>
      </c>
    </row>
    <row r="102">
      <c r="A102" s="5" t="inlineStr">
        <is>
          <t>Tomás Henao</t>
        </is>
      </c>
      <c r="B102" s="5" t="inlineStr">
        <is>
          <t>Usuarios</t>
        </is>
      </c>
      <c r="C102" s="5" t="inlineStr">
        <is>
          <t>RF-09</t>
        </is>
      </c>
      <c r="D102" s="5" t="inlineStr">
        <is>
          <t>Restablecimiento seguro de contraseña</t>
        </is>
      </c>
      <c r="E102" s="5" t="inlineStr">
        <is>
          <t>ESC072</t>
        </is>
      </c>
      <c r="F102" s="5" t="inlineStr">
        <is>
          <t>TC272</t>
        </is>
      </c>
      <c r="G102" s="5" t="inlineStr">
        <is>
          <t>Código válido en el límite de expiración</t>
        </is>
      </c>
      <c r="H102" s="5" t="inlineStr">
        <is>
          <t>Sistema</t>
        </is>
      </c>
      <c r="I102" s="5" t="inlineStr">
        <is>
          <t>Seguridad</t>
        </is>
      </c>
      <c r="J102" s="5" t="inlineStr">
        <is>
          <t>Casos del Excel (diseño + ejecución manual)</t>
        </is>
      </c>
      <c r="K102" s="5" t="inlineStr">
        <is>
          <t>Casos y Escenarios FuBank.xlsx</t>
        </is>
      </c>
      <c r="L102" s="5" t="inlineStr">
        <is>
          <t>Usuario utiliza el código justo antes o alrededor del límite de tiempo establecido.</t>
        </is>
      </c>
      <c r="M102" s="5" t="inlineStr">
        <is>
          <t>Sin resultado en el Excel</t>
        </is>
      </c>
      <c r="N102" s="6" t="inlineStr">
        <is>
          <t>Sin resultado registrado</t>
        </is>
      </c>
      <c r="O102" s="5" t="inlineStr">
        <is>
          <t>-</t>
        </is>
      </c>
      <c r="P102" s="5" t="inlineStr">
        <is>
          <t>Excel (hoja Casos de Prueba Detallado)</t>
        </is>
      </c>
      <c r="Q102" s="5" t="inlineStr">
        <is>
          <t>N/A</t>
        </is>
      </c>
    </row>
    <row r="103">
      <c r="A103" s="5" t="inlineStr">
        <is>
          <t>Tomás Henao</t>
        </is>
      </c>
      <c r="B103" s="5" t="inlineStr">
        <is>
          <t>Usuarios</t>
        </is>
      </c>
      <c r="C103" s="5" t="inlineStr">
        <is>
          <t>RF-09</t>
        </is>
      </c>
      <c r="D103" s="5" t="inlineStr">
        <is>
          <t>Restablecimiento seguro de contraseña</t>
        </is>
      </c>
      <c r="E103" s="5" t="inlineStr">
        <is>
          <t>ESC073</t>
        </is>
      </c>
      <c r="F103" s="5" t="inlineStr">
        <is>
          <t>TC273</t>
        </is>
      </c>
      <c r="G103" s="5" t="inlineStr">
        <is>
          <t>Código correcto</t>
        </is>
      </c>
      <c r="H103" s="5" t="inlineStr">
        <is>
          <t>Sistema</t>
        </is>
      </c>
      <c r="I103" s="5" t="inlineStr">
        <is>
          <t>Funcional</t>
        </is>
      </c>
      <c r="J103" s="5" t="inlineStr">
        <is>
          <t>Casos del Excel (diseño + ejecución manual)</t>
        </is>
      </c>
      <c r="K103" s="5" t="inlineStr">
        <is>
          <t>Casos y Escenarios FuBank.xlsx</t>
        </is>
      </c>
      <c r="L103" s="5" t="inlineStr">
        <is>
          <t>Usuario proporciona el código temporal correcto recibido en su correo.</t>
        </is>
      </c>
      <c r="M103" s="5" t="inlineStr">
        <is>
          <t>Sin resultado en el Excel</t>
        </is>
      </c>
      <c r="N103" s="6" t="inlineStr">
        <is>
          <t>Sin resultado registrado</t>
        </is>
      </c>
      <c r="O103" s="5" t="inlineStr">
        <is>
          <t>-</t>
        </is>
      </c>
      <c r="P103" s="5" t="inlineStr">
        <is>
          <t>Excel (hoja Casos de Prueba Detallado)</t>
        </is>
      </c>
      <c r="Q103" s="5" t="inlineStr">
        <is>
          <t>N/A</t>
        </is>
      </c>
    </row>
    <row r="104">
      <c r="A104" s="5" t="inlineStr">
        <is>
          <t>Tomás Henao</t>
        </is>
      </c>
      <c r="B104" s="5" t="inlineStr">
        <is>
          <t>Usuarios</t>
        </is>
      </c>
      <c r="C104" s="5" t="inlineStr">
        <is>
          <t>RF-09</t>
        </is>
      </c>
      <c r="D104" s="5" t="inlineStr">
        <is>
          <t>Restablecimiento seguro de contraseña</t>
        </is>
      </c>
      <c r="E104" s="5" t="inlineStr">
        <is>
          <t>ESC073</t>
        </is>
      </c>
      <c r="F104" s="5" t="inlineStr">
        <is>
          <t>TC274</t>
        </is>
      </c>
      <c r="G104" s="5" t="inlineStr">
        <is>
          <t>Código incorrecto</t>
        </is>
      </c>
      <c r="H104" s="5" t="inlineStr">
        <is>
          <t>Sistema</t>
        </is>
      </c>
      <c r="I104" s="5" t="inlineStr">
        <is>
          <t>Funcional</t>
        </is>
      </c>
      <c r="J104" s="5" t="inlineStr">
        <is>
          <t>Casos del Excel (diseño + ejecución manual)</t>
        </is>
      </c>
      <c r="K104" s="5" t="inlineStr">
        <is>
          <t>Casos y Escenarios FuBank.xlsx</t>
        </is>
      </c>
      <c r="L104" s="5" t="inlineStr">
        <is>
          <t>Usuario proporciona un código diferente al código enviado por el sistema.</t>
        </is>
      </c>
      <c r="M104" s="5" t="inlineStr">
        <is>
          <t>Sin resultado en el Excel</t>
        </is>
      </c>
      <c r="N104" s="6" t="inlineStr">
        <is>
          <t>Sin resultado registrado</t>
        </is>
      </c>
      <c r="O104" s="5" t="inlineStr">
        <is>
          <t>-</t>
        </is>
      </c>
      <c r="P104" s="5" t="inlineStr">
        <is>
          <t>Excel (hoja Casos de Prueba Detallado)</t>
        </is>
      </c>
      <c r="Q104" s="5" t="inlineStr">
        <is>
          <t>N/A</t>
        </is>
      </c>
    </row>
    <row r="105">
      <c r="A105" s="5" t="inlineStr">
        <is>
          <t>Tomás Henao</t>
        </is>
      </c>
      <c r="B105" s="5" t="inlineStr">
        <is>
          <t>Usuarios</t>
        </is>
      </c>
      <c r="C105" s="5" t="inlineStr">
        <is>
          <t>RF-09</t>
        </is>
      </c>
      <c r="D105" s="5" t="inlineStr">
        <is>
          <t>Restablecimiento seguro de contraseña</t>
        </is>
      </c>
      <c r="E105" s="5" t="inlineStr">
        <is>
          <t>ESC073</t>
        </is>
      </c>
      <c r="F105" s="5" t="inlineStr">
        <is>
          <t>TC275</t>
        </is>
      </c>
      <c r="G105" s="5" t="inlineStr">
        <is>
          <t>Código incompleto</t>
        </is>
      </c>
      <c r="H105" s="5" t="inlineStr">
        <is>
          <t>Sistema</t>
        </is>
      </c>
      <c r="I105" s="5" t="inlineStr">
        <is>
          <t>Funcional</t>
        </is>
      </c>
      <c r="J105" s="5" t="inlineStr">
        <is>
          <t>Casos del Excel (diseño + ejecución manual)</t>
        </is>
      </c>
      <c r="K105" s="5" t="inlineStr">
        <is>
          <t>Casos y Escenarios FuBank.xlsx</t>
        </is>
      </c>
      <c r="L105" s="5" t="inlineStr">
        <is>
          <t>Usuario proporciona un código con menos caracteres de los establecidos.</t>
        </is>
      </c>
      <c r="M105" s="5" t="inlineStr">
        <is>
          <t>Sin resultado en el Excel</t>
        </is>
      </c>
      <c r="N105" s="6" t="inlineStr">
        <is>
          <t>Sin resultado registrado</t>
        </is>
      </c>
      <c r="O105" s="5" t="inlineStr">
        <is>
          <t>-</t>
        </is>
      </c>
      <c r="P105" s="5" t="inlineStr">
        <is>
          <t>Excel (hoja Casos de Prueba Detallado)</t>
        </is>
      </c>
      <c r="Q105" s="5" t="inlineStr">
        <is>
          <t>N/A</t>
        </is>
      </c>
    </row>
    <row r="106">
      <c r="A106" s="5" t="inlineStr">
        <is>
          <t>Tomás Henao</t>
        </is>
      </c>
      <c r="B106" s="5" t="inlineStr">
        <is>
          <t>Usuarios</t>
        </is>
      </c>
      <c r="C106" s="5" t="inlineStr">
        <is>
          <t>RF-09</t>
        </is>
      </c>
      <c r="D106" s="5" t="inlineStr">
        <is>
          <t>Restablecimiento seguro de contraseña</t>
        </is>
      </c>
      <c r="E106" s="5" t="inlineStr">
        <is>
          <t>ESC073</t>
        </is>
      </c>
      <c r="F106" s="5" t="inlineStr">
        <is>
          <t>TC276</t>
        </is>
      </c>
      <c r="G106" s="5" t="inlineStr">
        <is>
          <t>Código excesivamente largo</t>
        </is>
      </c>
      <c r="H106" s="5" t="inlineStr">
        <is>
          <t>Sistema</t>
        </is>
      </c>
      <c r="I106" s="5" t="inlineStr">
        <is>
          <t>Funcional</t>
        </is>
      </c>
      <c r="J106" s="5" t="inlineStr">
        <is>
          <t>Casos del Excel (diseño + ejecución manual)</t>
        </is>
      </c>
      <c r="K106" s="5" t="inlineStr">
        <is>
          <t>Casos y Escenarios FuBank.xlsx</t>
        </is>
      </c>
      <c r="L106" s="5" t="inlineStr">
        <is>
          <t>Usuario proporciona un código que supera la longitud establecida.</t>
        </is>
      </c>
      <c r="M106" s="5" t="inlineStr">
        <is>
          <t>Sin resultado en el Excel</t>
        </is>
      </c>
      <c r="N106" s="6" t="inlineStr">
        <is>
          <t>Sin resultado registrado</t>
        </is>
      </c>
      <c r="O106" s="5" t="inlineStr">
        <is>
          <t>-</t>
        </is>
      </c>
      <c r="P106" s="5" t="inlineStr">
        <is>
          <t>Excel (hoja Casos de Prueba Detallado)</t>
        </is>
      </c>
      <c r="Q106" s="5" t="inlineStr">
        <is>
          <t>N/A</t>
        </is>
      </c>
    </row>
    <row r="107">
      <c r="A107" s="5" t="inlineStr">
        <is>
          <t>Tomás Henao</t>
        </is>
      </c>
      <c r="B107" s="5" t="inlineStr">
        <is>
          <t>Usuarios</t>
        </is>
      </c>
      <c r="C107" s="5" t="inlineStr">
        <is>
          <t>RF-09</t>
        </is>
      </c>
      <c r="D107" s="5" t="inlineStr">
        <is>
          <t>Restablecimiento seguro de contraseña</t>
        </is>
      </c>
      <c r="E107" s="5" t="inlineStr">
        <is>
          <t>ESC073</t>
        </is>
      </c>
      <c r="F107" s="5" t="inlineStr">
        <is>
          <t>TC277</t>
        </is>
      </c>
      <c r="G107" s="5" t="inlineStr">
        <is>
          <t>Código vacío</t>
        </is>
      </c>
      <c r="H107" s="5" t="inlineStr">
        <is>
          <t>Sistema</t>
        </is>
      </c>
      <c r="I107" s="5" t="inlineStr">
        <is>
          <t>Funcional</t>
        </is>
      </c>
      <c r="J107" s="5" t="inlineStr">
        <is>
          <t>Casos del Excel (diseño + ejecución manual)</t>
        </is>
      </c>
      <c r="K107" s="5" t="inlineStr">
        <is>
          <t>Casos y Escenarios FuBank.xlsx</t>
        </is>
      </c>
      <c r="L107" s="5" t="inlineStr">
        <is>
          <t>Usuario intenta continuar el proceso sin ingresar el código temporal.</t>
        </is>
      </c>
      <c r="M107" s="5" t="inlineStr">
        <is>
          <t>Sin resultado en el Excel</t>
        </is>
      </c>
      <c r="N107" s="6" t="inlineStr">
        <is>
          <t>Sin resultado registrado</t>
        </is>
      </c>
      <c r="O107" s="5" t="inlineStr">
        <is>
          <t>-</t>
        </is>
      </c>
      <c r="P107" s="5" t="inlineStr">
        <is>
          <t>Excel (hoja Casos de Prueba Detallado)</t>
        </is>
      </c>
      <c r="Q107" s="5" t="inlineStr">
        <is>
          <t>N/A</t>
        </is>
      </c>
    </row>
    <row r="108">
      <c r="A108" s="5" t="inlineStr">
        <is>
          <t>Tomás Henao</t>
        </is>
      </c>
      <c r="B108" s="5" t="inlineStr">
        <is>
          <t>Usuarios</t>
        </is>
      </c>
      <c r="C108" s="5" t="inlineStr">
        <is>
          <t>RF-09</t>
        </is>
      </c>
      <c r="D108" s="5" t="inlineStr">
        <is>
          <t>Restablecimiento seguro de contraseña</t>
        </is>
      </c>
      <c r="E108" s="5" t="inlineStr">
        <is>
          <t>ESC073</t>
        </is>
      </c>
      <c r="F108" s="5" t="inlineStr">
        <is>
          <t>TC278</t>
        </is>
      </c>
      <c r="G108" s="5" t="inlineStr">
        <is>
          <t>Caracteres inválidos</t>
        </is>
      </c>
      <c r="H108" s="5" t="inlineStr">
        <is>
          <t>Sistema</t>
        </is>
      </c>
      <c r="I108" s="5" t="inlineStr">
        <is>
          <t>Funcional</t>
        </is>
      </c>
      <c r="J108" s="5" t="inlineStr">
        <is>
          <t>Casos del Excel (diseño + ejecución manual)</t>
        </is>
      </c>
      <c r="K108" s="5" t="inlineStr">
        <is>
          <t>Casos y Escenarios FuBank.xlsx</t>
        </is>
      </c>
      <c r="L108" s="5" t="inlineStr">
        <is>
          <t>Usuario introduce letras, símbolos no permitidos cuando el código debe contener únicamente numeros.</t>
        </is>
      </c>
      <c r="M108" s="5" t="inlineStr">
        <is>
          <t>Sin resultado en el Excel</t>
        </is>
      </c>
      <c r="N108" s="6" t="inlineStr">
        <is>
          <t>Sin resultado registrado</t>
        </is>
      </c>
      <c r="O108" s="5" t="inlineStr">
        <is>
          <t>-</t>
        </is>
      </c>
      <c r="P108" s="5" t="inlineStr">
        <is>
          <t>Excel (hoja Casos de Prueba Detallado)</t>
        </is>
      </c>
      <c r="Q108" s="5" t="inlineStr">
        <is>
          <t>N/A</t>
        </is>
      </c>
    </row>
    <row r="109">
      <c r="A109" s="5" t="inlineStr">
        <is>
          <t>Tomás Henao</t>
        </is>
      </c>
      <c r="B109" s="5" t="inlineStr">
        <is>
          <t>Usuarios</t>
        </is>
      </c>
      <c r="C109" s="5" t="inlineStr">
        <is>
          <t>RF-09</t>
        </is>
      </c>
      <c r="D109" s="5" t="inlineStr">
        <is>
          <t>Restablecimiento seguro de contraseña</t>
        </is>
      </c>
      <c r="E109" s="5" t="inlineStr">
        <is>
          <t>auth/forgot-password.cy.ts</t>
        </is>
      </c>
      <c r="F109" s="5" t="inlineStr">
        <is>
          <t>CYU-FORGOT-01</t>
        </is>
      </c>
      <c r="G109" s="5" t="inlineStr">
        <is>
          <t>CP01: Solicitud de restablecimiento exitosa muestra confirmación</t>
        </is>
      </c>
      <c r="H109" s="5" t="inlineStr">
        <is>
          <t>Sistema (E2E)</t>
        </is>
      </c>
      <c r="I109" s="5" t="inlineStr">
        <is>
          <t>Funcional</t>
        </is>
      </c>
      <c r="J109" s="5" t="inlineStr">
        <is>
          <t>Cypress (Usuarios y Retiro, Tomás)</t>
        </is>
      </c>
      <c r="K109" s="5" t="inlineStr">
        <is>
          <t>cypress/e2e/auth/forgot-password.cy.ts</t>
        </is>
      </c>
      <c r="L109" s="5" t="inlineStr">
        <is>
          <t>CP01: Solicitud de restablecimiento exitosa muestra confirmación</t>
        </is>
      </c>
      <c r="M109" s="5" t="inlineStr">
        <is>
          <t>No ejecutado: usa /auth/test-helper/* y las cuentas fijas de c9ce5f4 (regresión REG-01 abierta)</t>
        </is>
      </c>
      <c r="N109" s="6" t="inlineStr">
        <is>
          <t>No ejecutado</t>
        </is>
      </c>
      <c r="O109" s="5" t="inlineStr">
        <is>
          <t>-</t>
        </is>
      </c>
      <c r="P109" s="5" t="inlineStr">
        <is>
          <t>-</t>
        </is>
      </c>
      <c r="Q109" s="5" t="inlineStr">
        <is>
          <t>-</t>
        </is>
      </c>
    </row>
    <row r="110">
      <c r="A110" s="5" t="inlineStr">
        <is>
          <t>Tomás Henao</t>
        </is>
      </c>
      <c r="B110" s="5" t="inlineStr">
        <is>
          <t>Usuarios</t>
        </is>
      </c>
      <c r="C110" s="5" t="inlineStr">
        <is>
          <t>RF-09</t>
        </is>
      </c>
      <c r="D110" s="5" t="inlineStr">
        <is>
          <t>Restablecimiento seguro de contraseña</t>
        </is>
      </c>
      <c r="E110" s="5" t="inlineStr">
        <is>
          <t>auth/forgot-password.cy.ts</t>
        </is>
      </c>
      <c r="F110" s="5" t="inlineStr">
        <is>
          <t>CYU-FORGOT-02</t>
        </is>
      </c>
      <c r="G110" s="5" t="inlineStr">
        <is>
          <t>CP02: Solicitud con formato de email inválido muestra error</t>
        </is>
      </c>
      <c r="H110" s="5" t="inlineStr">
        <is>
          <t>Sistema (E2E)</t>
        </is>
      </c>
      <c r="I110" s="5" t="inlineStr">
        <is>
          <t>Funcional</t>
        </is>
      </c>
      <c r="J110" s="5" t="inlineStr">
        <is>
          <t>Cypress (Usuarios y Retiro, Tomás)</t>
        </is>
      </c>
      <c r="K110" s="5" t="inlineStr">
        <is>
          <t>cypress/e2e/auth/forgot-password.cy.ts</t>
        </is>
      </c>
      <c r="L110" s="5" t="inlineStr">
        <is>
          <t>CP02: Solicitud con formato de email inválido muestra error</t>
        </is>
      </c>
      <c r="M110" s="5" t="inlineStr">
        <is>
          <t>No ejecutado: usa /auth/test-helper/* y las cuentas fijas de c9ce5f4 (regresión REG-01 abierta)</t>
        </is>
      </c>
      <c r="N110" s="6" t="inlineStr">
        <is>
          <t>No ejecutado</t>
        </is>
      </c>
      <c r="O110" s="5" t="inlineStr">
        <is>
          <t>-</t>
        </is>
      </c>
      <c r="P110" s="5" t="inlineStr">
        <is>
          <t>-</t>
        </is>
      </c>
      <c r="Q110" s="5" t="inlineStr">
        <is>
          <t>-</t>
        </is>
      </c>
    </row>
    <row r="111">
      <c r="A111" s="5" t="inlineStr">
        <is>
          <t>Tomás Henao</t>
        </is>
      </c>
      <c r="B111" s="5" t="inlineStr">
        <is>
          <t>Usuarios</t>
        </is>
      </c>
      <c r="C111" s="5" t="inlineStr">
        <is>
          <t>RF-09</t>
        </is>
      </c>
      <c r="D111" s="5" t="inlineStr">
        <is>
          <t>Restablecimiento seguro de contraseña</t>
        </is>
      </c>
      <c r="E111" s="5" t="inlineStr">
        <is>
          <t>auth/forgot-password.cy.ts</t>
        </is>
      </c>
      <c r="F111" s="5" t="inlineStr">
        <is>
          <t>CYU-FORGOT-03</t>
        </is>
      </c>
      <c r="G111" s="5" t="inlineStr">
        <is>
          <t>CP03: Solicitud con email vacío muestra error de validación</t>
        </is>
      </c>
      <c r="H111" s="5" t="inlineStr">
        <is>
          <t>Sistema (E2E)</t>
        </is>
      </c>
      <c r="I111" s="5" t="inlineStr">
        <is>
          <t>Funcional</t>
        </is>
      </c>
      <c r="J111" s="5" t="inlineStr">
        <is>
          <t>Cypress (Usuarios y Retiro, Tomás)</t>
        </is>
      </c>
      <c r="K111" s="5" t="inlineStr">
        <is>
          <t>cypress/e2e/auth/forgot-password.cy.ts</t>
        </is>
      </c>
      <c r="L111" s="5" t="inlineStr">
        <is>
          <t>CP03: Solicitud con email vacío muestra error de validación</t>
        </is>
      </c>
      <c r="M111" s="5" t="inlineStr">
        <is>
          <t>No ejecutado: usa /auth/test-helper/* y las cuentas fijas de c9ce5f4 (regresión REG-01 abierta)</t>
        </is>
      </c>
      <c r="N111" s="6" t="inlineStr">
        <is>
          <t>No ejecutado</t>
        </is>
      </c>
      <c r="O111" s="5" t="inlineStr">
        <is>
          <t>-</t>
        </is>
      </c>
      <c r="P111" s="5" t="inlineStr">
        <is>
          <t>-</t>
        </is>
      </c>
      <c r="Q111" s="5" t="inlineStr">
        <is>
          <t>-</t>
        </is>
      </c>
    </row>
    <row r="112">
      <c r="A112" s="5" t="inlineStr">
        <is>
          <t>Tomás Henao</t>
        </is>
      </c>
      <c r="B112" s="5" t="inlineStr">
        <is>
          <t>Usuarios</t>
        </is>
      </c>
      <c r="C112" s="5" t="inlineStr">
        <is>
          <t>RF-09</t>
        </is>
      </c>
      <c r="D112" s="5" t="inlineStr">
        <is>
          <t>Restablecimiento seguro de contraseña</t>
        </is>
      </c>
      <c r="E112" s="5" t="inlineStr">
        <is>
          <t>auth/forgot-password.cy.ts</t>
        </is>
      </c>
      <c r="F112" s="5" t="inlineStr">
        <is>
          <t>CYU-FORGOT-04</t>
        </is>
      </c>
      <c r="G112" s="5" t="inlineStr">
        <is>
          <t>CP04: Acceso con token inválido muestra mensaje y opción de solicitar nuevo enlace</t>
        </is>
      </c>
      <c r="H112" s="5" t="inlineStr">
        <is>
          <t>Sistema (E2E)</t>
        </is>
      </c>
      <c r="I112" s="5" t="inlineStr">
        <is>
          <t>Funcional</t>
        </is>
      </c>
      <c r="J112" s="5" t="inlineStr">
        <is>
          <t>Cypress (Usuarios y Retiro, Tomás)</t>
        </is>
      </c>
      <c r="K112" s="5" t="inlineStr">
        <is>
          <t>cypress/e2e/auth/forgot-password.cy.ts</t>
        </is>
      </c>
      <c r="L112" s="5" t="inlineStr">
        <is>
          <t>CP04: Acceso con token inválido muestra mensaje y opción de solicitar nuevo enlace</t>
        </is>
      </c>
      <c r="M112" s="5" t="inlineStr">
        <is>
          <t>No ejecutado: usa /auth/test-helper/* y las cuentas fijas de c9ce5f4 (regresión REG-01 abierta)</t>
        </is>
      </c>
      <c r="N112" s="6" t="inlineStr">
        <is>
          <t>No ejecutado</t>
        </is>
      </c>
      <c r="O112" s="5" t="inlineStr">
        <is>
          <t>-</t>
        </is>
      </c>
      <c r="P112" s="5" t="inlineStr">
        <is>
          <t>-</t>
        </is>
      </c>
      <c r="Q112" s="5" t="inlineStr">
        <is>
          <t>-</t>
        </is>
      </c>
    </row>
    <row r="113">
      <c r="A113" s="5" t="inlineStr">
        <is>
          <t>Tomás Henao</t>
        </is>
      </c>
      <c r="B113" s="5" t="inlineStr">
        <is>
          <t>Usuarios</t>
        </is>
      </c>
      <c r="C113" s="5" t="inlineStr">
        <is>
          <t>RF-09</t>
        </is>
      </c>
      <c r="D113" s="5" t="inlineStr">
        <is>
          <t>Restablecimiento seguro de contraseña</t>
        </is>
      </c>
      <c r="E113" s="5" t="inlineStr">
        <is>
          <t>auth/forgot-password.cy.ts</t>
        </is>
      </c>
      <c r="F113" s="5" t="inlineStr">
        <is>
          <t>CYU-FORGOT-05</t>
        </is>
      </c>
      <c r="G113" s="5" t="inlineStr">
        <is>
          <t>CP05: Acceso directo a /reset-password sin token permite redirigir a forgot-password</t>
        </is>
      </c>
      <c r="H113" s="5" t="inlineStr">
        <is>
          <t>Sistema (E2E)</t>
        </is>
      </c>
      <c r="I113" s="5" t="inlineStr">
        <is>
          <t>Funcional</t>
        </is>
      </c>
      <c r="J113" s="5" t="inlineStr">
        <is>
          <t>Cypress (Usuarios y Retiro, Tomás)</t>
        </is>
      </c>
      <c r="K113" s="5" t="inlineStr">
        <is>
          <t>cypress/e2e/auth/forgot-password.cy.ts</t>
        </is>
      </c>
      <c r="L113" s="5" t="inlineStr">
        <is>
          <t>CP05: Acceso directo a /reset-password sin token permite redirigir a forgot-password</t>
        </is>
      </c>
      <c r="M113" s="5" t="inlineStr">
        <is>
          <t>No ejecutado: usa /auth/test-helper/* y las cuentas fijas de c9ce5f4 (regresión REG-01 abierta)</t>
        </is>
      </c>
      <c r="N113" s="6" t="inlineStr">
        <is>
          <t>No ejecutado</t>
        </is>
      </c>
      <c r="O113" s="5" t="inlineStr">
        <is>
          <t>-</t>
        </is>
      </c>
      <c r="P113" s="5" t="inlineStr">
        <is>
          <t>-</t>
        </is>
      </c>
      <c r="Q113" s="5" t="inlineStr">
        <is>
          <t>-</t>
        </is>
      </c>
    </row>
    <row r="114">
      <c r="A114" s="5" t="inlineStr">
        <is>
          <t>Tomás Henao</t>
        </is>
      </c>
      <c r="B114" s="5" t="inlineStr">
        <is>
          <t>Usuarios</t>
        </is>
      </c>
      <c r="C114" s="5" t="inlineStr">
        <is>
          <t>RF-09</t>
        </is>
      </c>
      <c r="D114" s="5" t="inlineStr">
        <is>
          <t>Restablecimiento seguro de contraseña</t>
        </is>
      </c>
      <c r="E114" s="5" t="inlineStr">
        <is>
          <t>auth/forgot-password.cy.ts</t>
        </is>
      </c>
      <c r="F114" s="5" t="inlineStr">
        <is>
          <t>CYU-FORGOT-06</t>
        </is>
      </c>
      <c r="G114" s="5" t="inlineStr">
        <is>
          <t>CP06: Cambio de contraseña exitoso capturando el enlace del backend</t>
        </is>
      </c>
      <c r="H114" s="5" t="inlineStr">
        <is>
          <t>Sistema (E2E)</t>
        </is>
      </c>
      <c r="I114" s="5" t="inlineStr">
        <is>
          <t>Funcional</t>
        </is>
      </c>
      <c r="J114" s="5" t="inlineStr">
        <is>
          <t>Cypress (Usuarios y Retiro, Tomás)</t>
        </is>
      </c>
      <c r="K114" s="5" t="inlineStr">
        <is>
          <t>cypress/e2e/auth/forgot-password.cy.ts</t>
        </is>
      </c>
      <c r="L114" s="5" t="inlineStr">
        <is>
          <t>CP06: Cambio de contraseña exitoso capturando el enlace del backend</t>
        </is>
      </c>
      <c r="M114" s="5" t="inlineStr">
        <is>
          <t>No ejecutado: usa /auth/test-helper/* y las cuentas fijas de c9ce5f4 (regresión REG-01 abierta)</t>
        </is>
      </c>
      <c r="N114" s="6" t="inlineStr">
        <is>
          <t>No ejecutado</t>
        </is>
      </c>
      <c r="O114" s="5" t="inlineStr">
        <is>
          <t>-</t>
        </is>
      </c>
      <c r="P114" s="5" t="inlineStr">
        <is>
          <t>-</t>
        </is>
      </c>
      <c r="Q114" s="5" t="inlineStr">
        <is>
          <t>-</t>
        </is>
      </c>
    </row>
    <row r="115">
      <c r="A115" s="5" t="inlineStr">
        <is>
          <t>Tomás Henao</t>
        </is>
      </c>
      <c r="B115" s="5" t="inlineStr">
        <is>
          <t>Usuarios</t>
        </is>
      </c>
      <c r="C115" s="5" t="inlineStr">
        <is>
          <t>RF-09</t>
        </is>
      </c>
      <c r="D115" s="5" t="inlineStr">
        <is>
          <t>Restablecimiento seguro de contraseña</t>
        </is>
      </c>
      <c r="E115" s="5" t="inlineStr">
        <is>
          <t>auth/forgot-password.cy.ts</t>
        </is>
      </c>
      <c r="F115" s="5" t="inlineStr">
        <is>
          <t>CYU-FORGOT-07</t>
        </is>
      </c>
      <c r="G115" s="5" t="inlineStr">
        <is>
          <t>CP07: Validación de error cuando las contraseñas no coinciden</t>
        </is>
      </c>
      <c r="H115" s="5" t="inlineStr">
        <is>
          <t>Sistema (E2E)</t>
        </is>
      </c>
      <c r="I115" s="5" t="inlineStr">
        <is>
          <t>Funcional</t>
        </is>
      </c>
      <c r="J115" s="5" t="inlineStr">
        <is>
          <t>Cypress (Usuarios y Retiro, Tomás)</t>
        </is>
      </c>
      <c r="K115" s="5" t="inlineStr">
        <is>
          <t>cypress/e2e/auth/forgot-password.cy.ts</t>
        </is>
      </c>
      <c r="L115" s="5" t="inlineStr">
        <is>
          <t>CP07: Validación de error cuando las contraseñas no coinciden</t>
        </is>
      </c>
      <c r="M115" s="5" t="inlineStr">
        <is>
          <t>No ejecutado: usa /auth/test-helper/* y las cuentas fijas de c9ce5f4 (regresión REG-01 abierta)</t>
        </is>
      </c>
      <c r="N115" s="6" t="inlineStr">
        <is>
          <t>No ejecutado</t>
        </is>
      </c>
      <c r="O115" s="5" t="inlineStr">
        <is>
          <t>-</t>
        </is>
      </c>
      <c r="P115" s="5" t="inlineStr">
        <is>
          <t>-</t>
        </is>
      </c>
      <c r="Q115" s="5" t="inlineStr">
        <is>
          <t>-</t>
        </is>
      </c>
    </row>
    <row r="116">
      <c r="A116" s="5" t="inlineStr">
        <is>
          <t>Tomás Henao</t>
        </is>
      </c>
      <c r="B116" s="5" t="inlineStr">
        <is>
          <t>Usuarios</t>
        </is>
      </c>
      <c r="C116" s="5" t="inlineStr">
        <is>
          <t>RF-09</t>
        </is>
      </c>
      <c r="D116" s="5" t="inlineStr">
        <is>
          <t>Restablecimiento seguro de contraseña</t>
        </is>
      </c>
      <c r="E116" s="5" t="inlineStr">
        <is>
          <t>auth/forgot-password.cy.ts</t>
        </is>
      </c>
      <c r="F116" s="5" t="inlineStr">
        <is>
          <t>CYU-FORGOT-08</t>
        </is>
      </c>
      <c r="G116" s="5" t="inlineStr">
        <is>
          <t>CP08: Validación de contraseña débil desactiva el botón de guardar</t>
        </is>
      </c>
      <c r="H116" s="5" t="inlineStr">
        <is>
          <t>Sistema (E2E)</t>
        </is>
      </c>
      <c r="I116" s="5" t="inlineStr">
        <is>
          <t>Funcional</t>
        </is>
      </c>
      <c r="J116" s="5" t="inlineStr">
        <is>
          <t>Cypress (Usuarios y Retiro, Tomás)</t>
        </is>
      </c>
      <c r="K116" s="5" t="inlineStr">
        <is>
          <t>cypress/e2e/auth/forgot-password.cy.ts</t>
        </is>
      </c>
      <c r="L116" s="5" t="inlineStr">
        <is>
          <t>CP08: Validación de contraseña débil desactiva el botón de guardar</t>
        </is>
      </c>
      <c r="M116" s="5" t="inlineStr">
        <is>
          <t>No ejecutado: usa /auth/test-helper/* y las cuentas fijas de c9ce5f4 (regresión REG-01 abierta)</t>
        </is>
      </c>
      <c r="N116" s="6" t="inlineStr">
        <is>
          <t>No ejecutado</t>
        </is>
      </c>
      <c r="O116" s="5" t="inlineStr">
        <is>
          <t>-</t>
        </is>
      </c>
      <c r="P116" s="5" t="inlineStr">
        <is>
          <t>-</t>
        </is>
      </c>
      <c r="Q116" s="5" t="inlineStr">
        <is>
          <t>-</t>
        </is>
      </c>
    </row>
    <row r="117">
      <c r="A117" s="5" t="inlineStr">
        <is>
          <t>Tomás Henao</t>
        </is>
      </c>
      <c r="B117" s="5" t="inlineStr">
        <is>
          <t>Usuarios</t>
        </is>
      </c>
      <c r="C117" s="5" t="inlineStr">
        <is>
          <t>RF-09</t>
        </is>
      </c>
      <c r="D117" s="5" t="inlineStr">
        <is>
          <t>Restablecimiento seguro de contraseña</t>
        </is>
      </c>
      <c r="E117" s="5" t="inlineStr">
        <is>
          <t>auth/login.cy.ts</t>
        </is>
      </c>
      <c r="F117" s="5" t="inlineStr">
        <is>
          <t>CYU-LOGIN.-03</t>
        </is>
      </c>
      <c r="G117" s="5" t="inlineStr">
        <is>
          <t>CP03: Login con contraseña incorrecta muestra mensaje de error</t>
        </is>
      </c>
      <c r="H117" s="5" t="inlineStr">
        <is>
          <t>Sistema (E2E)</t>
        </is>
      </c>
      <c r="I117" s="5" t="inlineStr">
        <is>
          <t>Funcional</t>
        </is>
      </c>
      <c r="J117" s="5" t="inlineStr">
        <is>
          <t>Cypress (Usuarios y Retiro, Tomás)</t>
        </is>
      </c>
      <c r="K117" s="5" t="inlineStr">
        <is>
          <t>cypress/e2e/auth/login.cy.ts</t>
        </is>
      </c>
      <c r="L117" s="5" t="inlineStr">
        <is>
          <t>CP03: Login con contraseña incorrecta muestra mensaje de error</t>
        </is>
      </c>
      <c r="M117" s="5" t="inlineStr">
        <is>
          <t>No ejecutado: usa /auth/test-helper/* y las cuentas fijas de c9ce5f4 (regresión REG-01 abierta)</t>
        </is>
      </c>
      <c r="N117" s="6" t="inlineStr">
        <is>
          <t>No ejecutado</t>
        </is>
      </c>
      <c r="O117" s="5" t="inlineStr">
        <is>
          <t>-</t>
        </is>
      </c>
      <c r="P117" s="5" t="inlineStr">
        <is>
          <t>-</t>
        </is>
      </c>
      <c r="Q117" s="5" t="inlineStr">
        <is>
          <t>-</t>
        </is>
      </c>
    </row>
    <row r="118">
      <c r="A118" s="5" t="inlineStr">
        <is>
          <t>Tomás Henao</t>
        </is>
      </c>
      <c r="B118" s="5" t="inlineStr">
        <is>
          <t>Usuarios</t>
        </is>
      </c>
      <c r="C118" s="5" t="inlineStr">
        <is>
          <t>RF-09</t>
        </is>
      </c>
      <c r="D118" s="5" t="inlineStr">
        <is>
          <t>Restablecimiento seguro de contraseña</t>
        </is>
      </c>
      <c r="E118" s="5" t="inlineStr">
        <is>
          <t>auth/register.cy.ts</t>
        </is>
      </c>
      <c r="F118" s="5" t="inlineStr">
        <is>
          <t>CYU-REGIST-03</t>
        </is>
      </c>
      <c r="G118" s="5" t="inlineStr">
        <is>
          <t>CP03: Registro con contraseña débil muestra advertencia y bloquea envío</t>
        </is>
      </c>
      <c r="H118" s="5" t="inlineStr">
        <is>
          <t>Sistema (E2E)</t>
        </is>
      </c>
      <c r="I118" s="5" t="inlineStr">
        <is>
          <t>Funcional</t>
        </is>
      </c>
      <c r="J118" s="5" t="inlineStr">
        <is>
          <t>Cypress (Usuarios y Retiro, Tomás)</t>
        </is>
      </c>
      <c r="K118" s="5" t="inlineStr">
        <is>
          <t>cypress/e2e/auth/register.cy.ts</t>
        </is>
      </c>
      <c r="L118" s="5" t="inlineStr">
        <is>
          <t>CP03: Registro con contraseña débil muestra advertencia y bloquea envío</t>
        </is>
      </c>
      <c r="M118" s="5" t="inlineStr">
        <is>
          <t>No ejecutado: usa /auth/test-helper/* y las cuentas fijas de c9ce5f4 (regresión REG-01 abierta)</t>
        </is>
      </c>
      <c r="N118" s="6" t="inlineStr">
        <is>
          <t>No ejecutado</t>
        </is>
      </c>
      <c r="O118" s="5" t="inlineStr">
        <is>
          <t>-</t>
        </is>
      </c>
      <c r="P118" s="5" t="inlineStr">
        <is>
          <t>-</t>
        </is>
      </c>
      <c r="Q118" s="5" t="inlineStr">
        <is>
          <t>-</t>
        </is>
      </c>
    </row>
    <row r="119">
      <c r="A119" s="5" t="inlineStr">
        <is>
          <t>Tomás Henao</t>
        </is>
      </c>
      <c r="B119" s="5" t="inlineStr">
        <is>
          <t>Usuarios</t>
        </is>
      </c>
      <c r="C119" s="5" t="inlineStr">
        <is>
          <t>RF-09</t>
        </is>
      </c>
      <c r="D119" s="5" t="inlineStr">
        <is>
          <t>Restablecimiento seguro de contraseña</t>
        </is>
      </c>
      <c r="E119" s="5" t="inlineStr">
        <is>
          <t>Katalon Recorder</t>
        </is>
      </c>
      <c r="F119" s="5" t="inlineStr">
        <is>
          <t>Suite_11_Recuperar_contrasena</t>
        </is>
      </c>
      <c r="G119" s="5" t="inlineStr">
        <is>
          <t>Suite_11_Recuperar_contrasena (Tomás)</t>
        </is>
      </c>
      <c r="H119" s="5" t="inlineStr">
        <is>
          <t>Sistema (E2E)</t>
        </is>
      </c>
      <c r="I119" s="5" t="inlineStr">
        <is>
          <t>Funcional</t>
        </is>
      </c>
      <c r="J119" s="5" t="inlineStr">
        <is>
          <t>Katalon Recorder</t>
        </is>
      </c>
      <c r="K119" s="5" t="inlineStr">
        <is>
          <t>katalon/suites/Suite_11_Recuperar_contrasena.html</t>
        </is>
      </c>
      <c r="L119" s="5" t="inlineStr">
        <is>
          <t>Todos los casos de la suite pasan</t>
        </is>
      </c>
      <c r="M119" s="5" t="inlineStr">
        <is>
          <t>Sin resultado registrado en el repositorio</t>
        </is>
      </c>
      <c r="N119" s="6" t="inlineStr">
        <is>
          <t>Sin resultado registrado</t>
        </is>
      </c>
      <c r="O119" s="5" t="inlineStr">
        <is>
          <t>-</t>
        </is>
      </c>
      <c r="P119" s="5" t="inlineStr">
        <is>
          <t>-</t>
        </is>
      </c>
      <c r="Q119" s="5" t="inlineStr">
        <is>
          <t>-</t>
        </is>
      </c>
    </row>
    <row r="120">
      <c r="A120" s="5" t="inlineStr">
        <is>
          <t>Tomás Henao</t>
        </is>
      </c>
      <c r="B120" s="5" t="inlineStr">
        <is>
          <t>Usuarios</t>
        </is>
      </c>
      <c r="C120" s="5" t="inlineStr">
        <is>
          <t>RF-09</t>
        </is>
      </c>
      <c r="D120" s="5" t="inlineStr">
        <is>
          <t>Restablecimiento seguro de contraseña</t>
        </is>
      </c>
      <c r="E120" s="5" t="inlineStr">
        <is>
          <t>restablecer_contrasena.feature</t>
        </is>
      </c>
      <c r="F120" s="5" t="inlineStr">
        <is>
          <t>SJ-REST-01</t>
        </is>
      </c>
      <c r="G120" s="5" t="inlineStr">
        <is>
          <t>Solicitar restablecimiento con email existente</t>
        </is>
      </c>
      <c r="H120" s="5" t="inlineStr">
        <is>
          <t>Integración (API)</t>
        </is>
      </c>
      <c r="I120" s="5" t="inlineStr">
        <is>
          <t>Funcional</t>
        </is>
      </c>
      <c r="J120" s="5" t="inlineStr">
        <is>
          <t>Serenity/JS Screenplay + Gherkin</t>
        </is>
      </c>
      <c r="K120" s="5" t="inlineStr">
        <is>
          <t>features/contrasena/restablecer_contrasena.feature</t>
        </is>
      </c>
      <c r="L120" s="5" t="inlineStr">
        <is>
          <t>Solicitar restablecimiento con email existente</t>
        </is>
      </c>
      <c r="M120" s="5" t="inlineStr">
        <is>
          <t>Todos los pasos pasaron</t>
        </is>
      </c>
      <c r="N120" s="7" t="inlineStr">
        <is>
          <t>Aprobado</t>
        </is>
      </c>
      <c r="O120" s="5" t="inlineStr">
        <is>
          <t>2026-10-27</t>
        </is>
      </c>
      <c r="P120" s="5" t="inlineStr">
        <is>
          <t>docs/evidencia-final-equipo/serenity-equipo-corrida.txt</t>
        </is>
      </c>
      <c r="Q120" s="5" t="inlineStr">
        <is>
          <t>-</t>
        </is>
      </c>
    </row>
    <row r="121">
      <c r="A121" s="5" t="inlineStr">
        <is>
          <t>Tomás Henao</t>
        </is>
      </c>
      <c r="B121" s="5" t="inlineStr">
        <is>
          <t>Usuarios</t>
        </is>
      </c>
      <c r="C121" s="5" t="inlineStr">
        <is>
          <t>RF-09</t>
        </is>
      </c>
      <c r="D121" s="5" t="inlineStr">
        <is>
          <t>Restablecimiento seguro de contraseña</t>
        </is>
      </c>
      <c r="E121" s="5" t="inlineStr">
        <is>
          <t>restablecer_contrasena.feature</t>
        </is>
      </c>
      <c r="F121" s="5" t="inlineStr">
        <is>
          <t>SJ-REST-02</t>
        </is>
      </c>
      <c r="G121" s="5" t="inlineStr">
        <is>
          <t>Solicitar restablecimiento con email no registrado</t>
        </is>
      </c>
      <c r="H121" s="5" t="inlineStr">
        <is>
          <t>Integración (API)</t>
        </is>
      </c>
      <c r="I121" s="5" t="inlineStr">
        <is>
          <t>Funcional</t>
        </is>
      </c>
      <c r="J121" s="5" t="inlineStr">
        <is>
          <t>Serenity/JS Screenplay + Gherkin</t>
        </is>
      </c>
      <c r="K121" s="5" t="inlineStr">
        <is>
          <t>features/contrasena/restablecer_contrasena.feature</t>
        </is>
      </c>
      <c r="L121" s="5" t="inlineStr">
        <is>
          <t>Solicitar restablecimiento con email no registrado</t>
        </is>
      </c>
      <c r="M121" s="5" t="inlineStr">
        <is>
          <t>Todos los pasos pasaron</t>
        </is>
      </c>
      <c r="N121" s="7" t="inlineStr">
        <is>
          <t>Aprobado</t>
        </is>
      </c>
      <c r="O121" s="5" t="inlineStr">
        <is>
          <t>2026-10-27</t>
        </is>
      </c>
      <c r="P121" s="5" t="inlineStr">
        <is>
          <t>docs/evidencia-final-equipo/serenity-equipo-corrida.txt</t>
        </is>
      </c>
      <c r="Q121" s="5" t="inlineStr">
        <is>
          <t>-</t>
        </is>
      </c>
    </row>
    <row r="122">
      <c r="A122" s="5" t="inlineStr">
        <is>
          <t>Tomás Henao</t>
        </is>
      </c>
      <c r="B122" s="5" t="inlineStr">
        <is>
          <t>Usuarios</t>
        </is>
      </c>
      <c r="C122" s="5" t="inlineStr">
        <is>
          <t>RF-09</t>
        </is>
      </c>
      <c r="D122" s="5" t="inlineStr">
        <is>
          <t>Restablecimiento seguro de contraseña</t>
        </is>
      </c>
      <c r="E122" s="5" t="inlineStr">
        <is>
          <t>restablecer_contrasena.feature</t>
        </is>
      </c>
      <c r="F122" s="5" t="inlineStr">
        <is>
          <t>SJ-REST-03</t>
        </is>
      </c>
      <c r="G122" s="5" t="inlineStr">
        <is>
          <t>Solicitar restablecimiento con email con formato inválido</t>
        </is>
      </c>
      <c r="H122" s="5" t="inlineStr">
        <is>
          <t>Integración (API)</t>
        </is>
      </c>
      <c r="I122" s="5" t="inlineStr">
        <is>
          <t>Funcional</t>
        </is>
      </c>
      <c r="J122" s="5" t="inlineStr">
        <is>
          <t>Serenity/JS Screenplay + Gherkin</t>
        </is>
      </c>
      <c r="K122" s="5" t="inlineStr">
        <is>
          <t>features/contrasena/restablecer_contrasena.feature</t>
        </is>
      </c>
      <c r="L122" s="5" t="inlineStr">
        <is>
          <t>Solicitar restablecimiento con email con formato inválido</t>
        </is>
      </c>
      <c r="M122" s="5" t="inlineStr">
        <is>
          <t>Todos los pasos pasaron</t>
        </is>
      </c>
      <c r="N122" s="7" t="inlineStr">
        <is>
          <t>Aprobado</t>
        </is>
      </c>
      <c r="O122" s="5" t="inlineStr">
        <is>
          <t>2026-10-27</t>
        </is>
      </c>
      <c r="P122" s="5" t="inlineStr">
        <is>
          <t>docs/evidencia-final-equipo/serenity-equipo-corrida.txt</t>
        </is>
      </c>
      <c r="Q122" s="5" t="inlineStr">
        <is>
          <t>-</t>
        </is>
      </c>
    </row>
    <row r="123">
      <c r="A123" s="5" t="inlineStr">
        <is>
          <t>Tomás Henao</t>
        </is>
      </c>
      <c r="B123" s="5" t="inlineStr">
        <is>
          <t>Usuarios</t>
        </is>
      </c>
      <c r="C123" s="5" t="inlineStr">
        <is>
          <t>RF-09</t>
        </is>
      </c>
      <c r="D123" s="5" t="inlineStr">
        <is>
          <t>Restablecimiento seguro de contraseña</t>
        </is>
      </c>
      <c r="E123" s="5" t="inlineStr">
        <is>
          <t>restablecer_contrasena.feature</t>
        </is>
      </c>
      <c r="F123" s="5" t="inlineStr">
        <is>
          <t>SJ-REST-04</t>
        </is>
      </c>
      <c r="G123" s="5" t="inlineStr">
        <is>
          <t>Verificar token de restablecimiento inválido</t>
        </is>
      </c>
      <c r="H123" s="5" t="inlineStr">
        <is>
          <t>Integración (API)</t>
        </is>
      </c>
      <c r="I123" s="5" t="inlineStr">
        <is>
          <t>Funcional</t>
        </is>
      </c>
      <c r="J123" s="5" t="inlineStr">
        <is>
          <t>Serenity/JS Screenplay + Gherkin</t>
        </is>
      </c>
      <c r="K123" s="5" t="inlineStr">
        <is>
          <t>features/contrasena/restablecer_contrasena.feature</t>
        </is>
      </c>
      <c r="L123" s="5" t="inlineStr">
        <is>
          <t>Verificar token de restablecimiento inválido</t>
        </is>
      </c>
      <c r="M123" s="5" t="inlineStr">
        <is>
          <t>Todos los pasos pasaron</t>
        </is>
      </c>
      <c r="N123" s="7" t="inlineStr">
        <is>
          <t>Aprobado</t>
        </is>
      </c>
      <c r="O123" s="5" t="inlineStr">
        <is>
          <t>2026-10-27</t>
        </is>
      </c>
      <c r="P123" s="5" t="inlineStr">
        <is>
          <t>docs/evidencia-final-equipo/serenity-equipo-corrida.txt</t>
        </is>
      </c>
      <c r="Q123" s="5" t="inlineStr">
        <is>
          <t>-</t>
        </is>
      </c>
    </row>
    <row r="124">
      <c r="A124" s="5" t="inlineStr">
        <is>
          <t>Tomás Henao</t>
        </is>
      </c>
      <c r="B124" s="5" t="inlineStr">
        <is>
          <t>Usuarios</t>
        </is>
      </c>
      <c r="C124" s="5" t="inlineStr">
        <is>
          <t>RF-09</t>
        </is>
      </c>
      <c r="D124" s="5" t="inlineStr">
        <is>
          <t>Restablecimiento seguro de contraseña</t>
        </is>
      </c>
      <c r="E124" s="5" t="inlineStr">
        <is>
          <t>restablecer_contrasena.feature</t>
        </is>
      </c>
      <c r="F124" s="5" t="inlineStr">
        <is>
          <t>SJ-REST-05</t>
        </is>
      </c>
      <c r="G124" s="5" t="inlineStr">
        <is>
          <t>Verificar token de restablecimiento vacío</t>
        </is>
      </c>
      <c r="H124" s="5" t="inlineStr">
        <is>
          <t>Integración (API)</t>
        </is>
      </c>
      <c r="I124" s="5" t="inlineStr">
        <is>
          <t>Funcional</t>
        </is>
      </c>
      <c r="J124" s="5" t="inlineStr">
        <is>
          <t>Serenity/JS Screenplay + Gherkin</t>
        </is>
      </c>
      <c r="K124" s="5" t="inlineStr">
        <is>
          <t>features/contrasena/restablecer_contrasena.feature</t>
        </is>
      </c>
      <c r="L124" s="5" t="inlineStr">
        <is>
          <t>Verificar token de restablecimiento vacío</t>
        </is>
      </c>
      <c r="M124" s="5" t="inlineStr">
        <is>
          <t>Todos los pasos pasaron</t>
        </is>
      </c>
      <c r="N124" s="7" t="inlineStr">
        <is>
          <t>Aprobado</t>
        </is>
      </c>
      <c r="O124" s="5" t="inlineStr">
        <is>
          <t>2026-10-27</t>
        </is>
      </c>
      <c r="P124" s="5" t="inlineStr">
        <is>
          <t>docs/evidencia-final-equipo/serenity-equipo-corrida.txt</t>
        </is>
      </c>
      <c r="Q124" s="5" t="inlineStr">
        <is>
          <t>-</t>
        </is>
      </c>
    </row>
    <row r="125">
      <c r="A125" s="5" t="inlineStr">
        <is>
          <t>Tomás Henao</t>
        </is>
      </c>
      <c r="B125" s="5" t="inlineStr">
        <is>
          <t>Usuarios</t>
        </is>
      </c>
      <c r="C125" s="5" t="inlineStr">
        <is>
          <t>RF-09</t>
        </is>
      </c>
      <c r="D125" s="5" t="inlineStr">
        <is>
          <t>Restablecimiento seguro de contraseña</t>
        </is>
      </c>
      <c r="E125" s="5" t="inlineStr">
        <is>
          <t>restablecer_contrasena.feature</t>
        </is>
      </c>
      <c r="F125" s="5" t="inlineStr">
        <is>
          <t>SJ-REST-06</t>
        </is>
      </c>
      <c r="G125" s="5" t="inlineStr">
        <is>
          <t>Restablecer contraseña con token inválido</t>
        </is>
      </c>
      <c r="H125" s="5" t="inlineStr">
        <is>
          <t>Integración (API)</t>
        </is>
      </c>
      <c r="I125" s="5" t="inlineStr">
        <is>
          <t>Funcional</t>
        </is>
      </c>
      <c r="J125" s="5" t="inlineStr">
        <is>
          <t>Serenity/JS Screenplay + Gherkin</t>
        </is>
      </c>
      <c r="K125" s="5" t="inlineStr">
        <is>
          <t>features/contrasena/restablecer_contrasena.feature</t>
        </is>
      </c>
      <c r="L125" s="5" t="inlineStr">
        <is>
          <t>Restablecer contraseña con token inválido</t>
        </is>
      </c>
      <c r="M125" s="5" t="inlineStr">
        <is>
          <t>Todos los pasos pasaron</t>
        </is>
      </c>
      <c r="N125" s="7" t="inlineStr">
        <is>
          <t>Aprobado</t>
        </is>
      </c>
      <c r="O125" s="5" t="inlineStr">
        <is>
          <t>2026-10-27</t>
        </is>
      </c>
      <c r="P125" s="5" t="inlineStr">
        <is>
          <t>docs/evidencia-final-equipo/serenity-equipo-corrida.txt</t>
        </is>
      </c>
      <c r="Q125" s="5" t="inlineStr">
        <is>
          <t>-</t>
        </is>
      </c>
    </row>
    <row r="126">
      <c r="A126" s="5" t="inlineStr">
        <is>
          <t>Tomás Henao</t>
        </is>
      </c>
      <c r="B126" s="5" t="inlineStr">
        <is>
          <t>Usuarios</t>
        </is>
      </c>
      <c r="C126" s="5" t="inlineStr">
        <is>
          <t>RF-09</t>
        </is>
      </c>
      <c r="D126" s="5" t="inlineStr">
        <is>
          <t>Restablecimiento seguro de contraseña</t>
        </is>
      </c>
      <c r="E126" s="5" t="inlineStr">
        <is>
          <t>restablecer_contrasena.feature</t>
        </is>
      </c>
      <c r="F126" s="5" t="inlineStr">
        <is>
          <t>SJ-REST-07</t>
        </is>
      </c>
      <c r="G126" s="5" t="inlineStr">
        <is>
          <t>Restablecer contraseña con contraseña débil</t>
        </is>
      </c>
      <c r="H126" s="5" t="inlineStr">
        <is>
          <t>Integración (API)</t>
        </is>
      </c>
      <c r="I126" s="5" t="inlineStr">
        <is>
          <t>Funcional</t>
        </is>
      </c>
      <c r="J126" s="5" t="inlineStr">
        <is>
          <t>Serenity/JS Screenplay + Gherkin</t>
        </is>
      </c>
      <c r="K126" s="5" t="inlineStr">
        <is>
          <t>features/contrasena/restablecer_contrasena.feature</t>
        </is>
      </c>
      <c r="L126" s="5" t="inlineStr">
        <is>
          <t>Restablecer contraseña con contraseña débil</t>
        </is>
      </c>
      <c r="M126" s="5" t="inlineStr">
        <is>
          <t>Todos los pasos pasaron</t>
        </is>
      </c>
      <c r="N126" s="7" t="inlineStr">
        <is>
          <t>Aprobado</t>
        </is>
      </c>
      <c r="O126" s="5" t="inlineStr">
        <is>
          <t>2026-10-27</t>
        </is>
      </c>
      <c r="P126" s="5" t="inlineStr">
        <is>
          <t>docs/evidencia-final-equipo/serenity-equipo-corrida.txt</t>
        </is>
      </c>
      <c r="Q126" s="5" t="inlineStr">
        <is>
          <t>-</t>
        </is>
      </c>
    </row>
    <row r="127">
      <c r="A127" s="5" t="inlineStr">
        <is>
          <t>Tomás Henao</t>
        </is>
      </c>
      <c r="B127" s="5" t="inlineStr">
        <is>
          <t>Usuarios</t>
        </is>
      </c>
      <c r="C127" s="5" t="inlineStr">
        <is>
          <t>RF-09</t>
        </is>
      </c>
      <c r="D127" s="5" t="inlineStr">
        <is>
          <t>Restablecimiento seguro de contraseña</t>
        </is>
      </c>
      <c r="E127" s="5" t="inlineStr">
        <is>
          <t>restablecer_contrasena.feature</t>
        </is>
      </c>
      <c r="F127" s="5" t="inlineStr">
        <is>
          <t>SJ-REST-08</t>
        </is>
      </c>
      <c r="G127" s="5" t="inlineStr">
        <is>
          <t>Restablecer contraseña con contraseñas que no coinciden</t>
        </is>
      </c>
      <c r="H127" s="5" t="inlineStr">
        <is>
          <t>Integración (API)</t>
        </is>
      </c>
      <c r="I127" s="5" t="inlineStr">
        <is>
          <t>Funcional</t>
        </is>
      </c>
      <c r="J127" s="5" t="inlineStr">
        <is>
          <t>Serenity/JS Screenplay + Gherkin</t>
        </is>
      </c>
      <c r="K127" s="5" t="inlineStr">
        <is>
          <t>features/contrasena/restablecer_contrasena.feature</t>
        </is>
      </c>
      <c r="L127" s="5" t="inlineStr">
        <is>
          <t>Restablecer contraseña con contraseñas que no coinciden</t>
        </is>
      </c>
      <c r="M127" s="5" t="inlineStr">
        <is>
          <t>Todos los pasos pasaron</t>
        </is>
      </c>
      <c r="N127" s="7" t="inlineStr">
        <is>
          <t>Aprobado</t>
        </is>
      </c>
      <c r="O127" s="5" t="inlineStr">
        <is>
          <t>2026-10-27</t>
        </is>
      </c>
      <c r="P127" s="5" t="inlineStr">
        <is>
          <t>docs/evidencia-final-equipo/serenity-equipo-corrida.txt</t>
        </is>
      </c>
      <c r="Q127" s="5" t="inlineStr">
        <is>
          <t>-</t>
        </is>
      </c>
    </row>
    <row r="128">
      <c r="A128" s="5" t="inlineStr">
        <is>
          <t>Tomás Henao</t>
        </is>
      </c>
      <c r="B128" s="5" t="inlineStr">
        <is>
          <t>Usuarios</t>
        </is>
      </c>
      <c r="C128" s="5" t="inlineStr">
        <is>
          <t>RF-09</t>
        </is>
      </c>
      <c r="D128" s="5" t="inlineStr">
        <is>
          <t>Restablecimiento seguro de contraseña</t>
        </is>
      </c>
      <c r="E128" s="5" t="inlineStr">
        <is>
          <t>Stagehand</t>
        </is>
      </c>
      <c r="F128" s="5" t="inlineStr">
        <is>
          <t>SH-T11</t>
        </is>
      </c>
      <c r="G128" s="5" t="inlineStr">
        <is>
          <t>11-restablecer-contrasena (act + extract, 11 pasos)</t>
        </is>
      </c>
      <c r="H128" s="5" t="inlineStr">
        <is>
          <t>Sistema (E2E con IA)</t>
        </is>
      </c>
      <c r="I128" s="5" t="inlineStr">
        <is>
          <t>Funcional</t>
        </is>
      </c>
      <c r="J128" s="5" t="inlineStr">
        <is>
          <t>Stagehand (Tomás)</t>
        </is>
      </c>
      <c r="K128" s="5" t="inlineStr">
        <is>
          <t>e2e/stagehand/src/scenarios/</t>
        </is>
      </c>
      <c r="L128" s="5" t="inlineStr">
        <is>
          <t>Ver escenario</t>
        </is>
      </c>
      <c r="M128" s="5" t="inlineStr">
        <is>
          <t>Reporte generado al completar el escenario</t>
        </is>
      </c>
      <c r="N128" s="8" t="inlineStr">
        <is>
          <t>Aprobado (reportado)</t>
        </is>
      </c>
      <c r="O128" s="5" t="inlineStr">
        <is>
          <t>2026-10-27</t>
        </is>
      </c>
      <c r="P128" s="5" t="inlineStr">
        <is>
          <t>e2e/stagehand/evidence/11-restablecer-contrasena-report.json</t>
        </is>
      </c>
      <c r="Q128" s="5" t="inlineStr">
        <is>
          <t>-</t>
        </is>
      </c>
    </row>
    <row r="129">
      <c r="A129" s="5" t="inlineStr">
        <is>
          <t>Tomás Henao</t>
        </is>
      </c>
      <c r="B129" s="5" t="inlineStr">
        <is>
          <t>Usuarios</t>
        </is>
      </c>
      <c r="C129" s="5" t="inlineStr">
        <is>
          <t>RF-09</t>
        </is>
      </c>
      <c r="D129" s="5" t="inlineStr">
        <is>
          <t>Restablecimiento seguro de contraseña</t>
        </is>
      </c>
      <c r="E129" s="5" t="inlineStr">
        <is>
          <t>Vitest backend · unitaria</t>
        </is>
      </c>
      <c r="F129" s="5" t="inlineStr">
        <is>
          <t>VT-PasswordReset.backend.test</t>
        </is>
      </c>
      <c r="G129" s="5" t="inlineStr">
        <is>
          <t>PasswordReset.backend.test.ts (6 pruebas)</t>
        </is>
      </c>
      <c r="H129" s="5" t="inlineStr">
        <is>
          <t>Unitaria / Integración</t>
        </is>
      </c>
      <c r="I129" s="5" t="inlineStr">
        <is>
          <t>Funcional</t>
        </is>
      </c>
      <c r="J129" s="5" t="inlineStr">
        <is>
          <t>Vitest backend</t>
        </is>
      </c>
      <c r="K129" s="5" t="inlineStr">
        <is>
          <t>backend/src/tests/auth/PasswordReset.backend.test.ts</t>
        </is>
      </c>
      <c r="L129" s="5" t="inlineStr">
        <is>
          <t>Todas las pruebas del archivo pasan</t>
        </is>
      </c>
      <c r="M129" s="5" t="inlineStr">
        <is>
          <t>6/6 pasan</t>
        </is>
      </c>
      <c r="N129" s="7" t="inlineStr">
        <is>
          <t>Aprobado</t>
        </is>
      </c>
      <c r="O129" s="5" t="inlineStr">
        <is>
          <t>2026-10-27</t>
        </is>
      </c>
      <c r="P129" s="5" t="inlineStr">
        <is>
          <t>docs/evidencia-final-equipo/vitest-backend.json</t>
        </is>
      </c>
      <c r="Q129" s="5" t="inlineStr">
        <is>
          <t>-</t>
        </is>
      </c>
    </row>
    <row r="130">
      <c r="A130" s="5" t="inlineStr">
        <is>
          <t>Tomás Henao</t>
        </is>
      </c>
      <c r="B130" s="5" t="inlineStr">
        <is>
          <t>Usuarios</t>
        </is>
      </c>
      <c r="C130" s="5" t="inlineStr">
        <is>
          <t>RF-09</t>
        </is>
      </c>
      <c r="D130" s="5" t="inlineStr">
        <is>
          <t>Restablecimiento seguro de contraseña</t>
        </is>
      </c>
      <c r="E130" s="5" t="inlineStr">
        <is>
          <t>Vitest backend · unitaria</t>
        </is>
      </c>
      <c r="F130" s="5" t="inlineStr">
        <is>
          <t>VT-PasswordReset.integration.test</t>
        </is>
      </c>
      <c r="G130" s="5" t="inlineStr">
        <is>
          <t>PasswordReset.integration.test.ts (3 pruebas)</t>
        </is>
      </c>
      <c r="H130" s="5" t="inlineStr">
        <is>
          <t>Unitaria / Integración</t>
        </is>
      </c>
      <c r="I130" s="5" t="inlineStr">
        <is>
          <t>Funcional</t>
        </is>
      </c>
      <c r="J130" s="5" t="inlineStr">
        <is>
          <t>Vitest backend</t>
        </is>
      </c>
      <c r="K130" s="5" t="inlineStr">
        <is>
          <t>backend/src/tests/integration/PasswordReset.integration.test.ts</t>
        </is>
      </c>
      <c r="L130" s="5" t="inlineStr">
        <is>
          <t>Todas las pruebas del archivo pasan</t>
        </is>
      </c>
      <c r="M130" s="5" t="inlineStr">
        <is>
          <t>3/3 pasan</t>
        </is>
      </c>
      <c r="N130" s="7" t="inlineStr">
        <is>
          <t>Aprobado</t>
        </is>
      </c>
      <c r="O130" s="5" t="inlineStr">
        <is>
          <t>2026-10-27</t>
        </is>
      </c>
      <c r="P130" s="5" t="inlineStr">
        <is>
          <t>docs/evidencia-final-equipo/vitest-backend.json</t>
        </is>
      </c>
      <c r="Q130" s="5" t="inlineStr">
        <is>
          <t>-</t>
        </is>
      </c>
    </row>
    <row r="131">
      <c r="A131" s="5" t="inlineStr">
        <is>
          <t>Tomás Henao</t>
        </is>
      </c>
      <c r="B131" s="5" t="inlineStr">
        <is>
          <t>Usuarios</t>
        </is>
      </c>
      <c r="C131" s="5" t="inlineStr">
        <is>
          <t>RF-09</t>
        </is>
      </c>
      <c r="D131" s="5" t="inlineStr">
        <is>
          <t>Restablecimiento seguro de contraseña</t>
        </is>
      </c>
      <c r="E131" s="5" t="inlineStr">
        <is>
          <t>Vitest backend · unitaria</t>
        </is>
      </c>
      <c r="F131" s="5" t="inlineStr">
        <is>
          <t>VT-PasswordReset.mock.test</t>
        </is>
      </c>
      <c r="G131" s="5" t="inlineStr">
        <is>
          <t>PasswordReset.mock.test.ts (6 pruebas)</t>
        </is>
      </c>
      <c r="H131" s="5" t="inlineStr">
        <is>
          <t>Unitaria / Integración</t>
        </is>
      </c>
      <c r="I131" s="5" t="inlineStr">
        <is>
          <t>Funcional</t>
        </is>
      </c>
      <c r="J131" s="5" t="inlineStr">
        <is>
          <t>Vitest backend</t>
        </is>
      </c>
      <c r="K131" s="5" t="inlineStr">
        <is>
          <t>backend/src/tests/auth/mocks/PasswordReset.mock.test.ts</t>
        </is>
      </c>
      <c r="L131" s="5" t="inlineStr">
        <is>
          <t>Todas las pruebas del archivo pasan</t>
        </is>
      </c>
      <c r="M131" s="5" t="inlineStr">
        <is>
          <t>6/6 pasan</t>
        </is>
      </c>
      <c r="N131" s="7" t="inlineStr">
        <is>
          <t>Aprobado</t>
        </is>
      </c>
      <c r="O131" s="5" t="inlineStr">
        <is>
          <t>2026-10-27</t>
        </is>
      </c>
      <c r="P131" s="5" t="inlineStr">
        <is>
          <t>docs/evidencia-final-equipo/vitest-backend.json</t>
        </is>
      </c>
      <c r="Q131" s="5" t="inlineStr">
        <is>
          <t>-</t>
        </is>
      </c>
    </row>
    <row r="132">
      <c r="A132" s="5" t="inlineStr">
        <is>
          <t>Tomás Henao</t>
        </is>
      </c>
      <c r="B132" s="5" t="inlineStr">
        <is>
          <t>Usuarios</t>
        </is>
      </c>
      <c r="C132" s="5" t="inlineStr">
        <is>
          <t>RF-09</t>
        </is>
      </c>
      <c r="D132" s="5" t="inlineStr">
        <is>
          <t>Restablecimiento seguro de contraseña</t>
        </is>
      </c>
      <c r="E132" s="5" t="inlineStr">
        <is>
          <t>Vitest backend · unitaria</t>
        </is>
      </c>
      <c r="F132" s="5" t="inlineStr">
        <is>
          <t>VT-SupabaseResetTokenRepository.test</t>
        </is>
      </c>
      <c r="G132" s="5" t="inlineStr">
        <is>
          <t>SupabaseResetTokenRepository.test.ts (6 pruebas)</t>
        </is>
      </c>
      <c r="H132" s="5" t="inlineStr">
        <is>
          <t>Unitaria / Integración</t>
        </is>
      </c>
      <c r="I132" s="5" t="inlineStr">
        <is>
          <t>Funcional</t>
        </is>
      </c>
      <c r="J132" s="5" t="inlineStr">
        <is>
          <t>Vitest backend</t>
        </is>
      </c>
      <c r="K132" s="5" t="inlineStr">
        <is>
          <t>backend/src/tests/unit/auth/SupabaseResetTokenRepository.test.ts</t>
        </is>
      </c>
      <c r="L132" s="5" t="inlineStr">
        <is>
          <t>Todas las pruebas del archivo pasan</t>
        </is>
      </c>
      <c r="M132" s="5" t="inlineStr">
        <is>
          <t>6/6 pasan</t>
        </is>
      </c>
      <c r="N132" s="7" t="inlineStr">
        <is>
          <t>Aprobado</t>
        </is>
      </c>
      <c r="O132" s="5" t="inlineStr">
        <is>
          <t>2026-10-27</t>
        </is>
      </c>
      <c r="P132" s="5" t="inlineStr">
        <is>
          <t>docs/evidencia-final-equipo/vitest-backend.json</t>
        </is>
      </c>
      <c r="Q132" s="5" t="inlineStr">
        <is>
          <t>-</t>
        </is>
      </c>
    </row>
    <row r="133">
      <c r="A133" s="5" t="inlineStr">
        <is>
          <t>Tomás Henao</t>
        </is>
      </c>
      <c r="B133" s="5" t="inlineStr">
        <is>
          <t>Usuarios</t>
        </is>
      </c>
      <c r="C133" s="5" t="inlineStr">
        <is>
          <t>RF-09</t>
        </is>
      </c>
      <c r="D133" s="5" t="inlineStr">
        <is>
          <t>Restablecimiento seguro de contraseña</t>
        </is>
      </c>
      <c r="E133" s="5" t="inlineStr">
        <is>
          <t>Vitest backend · unitaria</t>
        </is>
      </c>
      <c r="F133" s="5" t="inlineStr">
        <is>
          <t>VT-VerifyResetToken.test</t>
        </is>
      </c>
      <c r="G133" s="5" t="inlineStr">
        <is>
          <t>VerifyResetToken.test.ts (5 pruebas)</t>
        </is>
      </c>
      <c r="H133" s="5" t="inlineStr">
        <is>
          <t>Unitaria / Integración</t>
        </is>
      </c>
      <c r="I133" s="5" t="inlineStr">
        <is>
          <t>Funcional</t>
        </is>
      </c>
      <c r="J133" s="5" t="inlineStr">
        <is>
          <t>Vitest backend</t>
        </is>
      </c>
      <c r="K133" s="5" t="inlineStr">
        <is>
          <t>backend/src/tests/unit/auth/VerifyResetToken.test.ts</t>
        </is>
      </c>
      <c r="L133" s="5" t="inlineStr">
        <is>
          <t>Todas las pruebas del archivo pasan</t>
        </is>
      </c>
      <c r="M133" s="5" t="inlineStr">
        <is>
          <t>5/5 pasan</t>
        </is>
      </c>
      <c r="N133" s="7" t="inlineStr">
        <is>
          <t>Aprobado</t>
        </is>
      </c>
      <c r="O133" s="5" t="inlineStr">
        <is>
          <t>2026-10-27</t>
        </is>
      </c>
      <c r="P133" s="5" t="inlineStr">
        <is>
          <t>docs/evidencia-final-equipo/vitest-backend.json</t>
        </is>
      </c>
      <c r="Q133" s="5" t="inlineStr">
        <is>
          <t>-</t>
        </is>
      </c>
    </row>
    <row r="134">
      <c r="A134" s="5" t="inlineStr">
        <is>
          <t>Tomás Henao</t>
        </is>
      </c>
      <c r="B134" s="5" t="inlineStr">
        <is>
          <t>Usuarios</t>
        </is>
      </c>
      <c r="C134" s="5" t="inlineStr">
        <is>
          <t>RF-09</t>
        </is>
      </c>
      <c r="D134" s="5" t="inlineStr">
        <is>
          <t>Restablecimiento seguro de contraseña</t>
        </is>
      </c>
      <c r="E134" s="5" t="inlineStr">
        <is>
          <t>Vitest backend · unitaria</t>
        </is>
      </c>
      <c r="F134" s="5" t="inlineStr">
        <is>
          <t>VT-resetPasswordBranches.test</t>
        </is>
      </c>
      <c r="G134" s="5" t="inlineStr">
        <is>
          <t>resetPasswordBranches.test.ts (8 pruebas)</t>
        </is>
      </c>
      <c r="H134" s="5" t="inlineStr">
        <is>
          <t>Unitaria / Integración</t>
        </is>
      </c>
      <c r="I134" s="5" t="inlineStr">
        <is>
          <t>Funcional</t>
        </is>
      </c>
      <c r="J134" s="5" t="inlineStr">
        <is>
          <t>Vitest backend</t>
        </is>
      </c>
      <c r="K134" s="5" t="inlineStr">
        <is>
          <t>backend/src/tests/unit/auth/resetPasswordBranches.test.ts</t>
        </is>
      </c>
      <c r="L134" s="5" t="inlineStr">
        <is>
          <t>Todas las pruebas del archivo pasan</t>
        </is>
      </c>
      <c r="M134" s="5" t="inlineStr">
        <is>
          <t>8/8 pasan</t>
        </is>
      </c>
      <c r="N134" s="7" t="inlineStr">
        <is>
          <t>Aprobado</t>
        </is>
      </c>
      <c r="O134" s="5" t="inlineStr">
        <is>
          <t>2026-10-27</t>
        </is>
      </c>
      <c r="P134" s="5" t="inlineStr">
        <is>
          <t>docs/evidencia-final-equipo/vitest-backend.json</t>
        </is>
      </c>
      <c r="Q134" s="5" t="inlineStr">
        <is>
          <t>-</t>
        </is>
      </c>
    </row>
    <row r="135">
      <c r="A135" s="5" t="inlineStr">
        <is>
          <t>Tomás Henao</t>
        </is>
      </c>
      <c r="B135" s="5" t="inlineStr">
        <is>
          <t>Usuarios</t>
        </is>
      </c>
      <c r="C135" s="5" t="inlineStr">
        <is>
          <t>RF-09</t>
        </is>
      </c>
      <c r="D135" s="5" t="inlineStr">
        <is>
          <t>Restablecimiento seguro de contraseña</t>
        </is>
      </c>
      <c r="E135" s="5" t="inlineStr">
        <is>
          <t>Vitest frontend · unitaria</t>
        </is>
      </c>
      <c r="F135" s="5" t="inlineStr">
        <is>
          <t>VT-PasswordForms.test</t>
        </is>
      </c>
      <c r="G135" s="5" t="inlineStr">
        <is>
          <t>PasswordForms.test.tsx (13 pruebas)</t>
        </is>
      </c>
      <c r="H135" s="5" t="inlineStr">
        <is>
          <t>Unitaria / Integración</t>
        </is>
      </c>
      <c r="I135" s="5" t="inlineStr">
        <is>
          <t>Funcional</t>
        </is>
      </c>
      <c r="J135" s="5" t="inlineStr">
        <is>
          <t>Vitest frontend</t>
        </is>
      </c>
      <c r="K135" s="5" t="inlineStr">
        <is>
          <t>frontend/src/tests/unit/auth/PasswordForms.test.tsx</t>
        </is>
      </c>
      <c r="L135" s="5" t="inlineStr">
        <is>
          <t>Todas las pruebas del archivo pasan</t>
        </is>
      </c>
      <c r="M135" s="5" t="inlineStr">
        <is>
          <t>13/13 pasan</t>
        </is>
      </c>
      <c r="N135" s="7" t="inlineStr">
        <is>
          <t>Aprobado</t>
        </is>
      </c>
      <c r="O135" s="5" t="inlineStr">
        <is>
          <t>2026-10-27</t>
        </is>
      </c>
      <c r="P135" s="5" t="inlineStr">
        <is>
          <t>docs/evidencia-final-equipo/vitest-frontend.json</t>
        </is>
      </c>
      <c r="Q135" s="5" t="inlineStr">
        <is>
          <t>-</t>
        </is>
      </c>
    </row>
    <row r="136">
      <c r="A136" s="5" t="inlineStr">
        <is>
          <t>Tomás Henao</t>
        </is>
      </c>
      <c r="B136" s="5" t="inlineStr">
        <is>
          <t>Usuarios</t>
        </is>
      </c>
      <c r="C136" s="5" t="inlineStr">
        <is>
          <t>RF-09</t>
        </is>
      </c>
      <c r="D136" s="5" t="inlineStr">
        <is>
          <t>Restablecimiento seguro de contraseña</t>
        </is>
      </c>
      <c r="E136" s="5" t="inlineStr">
        <is>
          <t>Vitest frontend · unitaria</t>
        </is>
      </c>
      <c r="F136" s="5" t="inlineStr">
        <is>
          <t>VT-PasswordForms.test</t>
        </is>
      </c>
      <c r="G136" s="5" t="inlineStr">
        <is>
          <t>PasswordForms.test.tsx (13 pruebas)</t>
        </is>
      </c>
      <c r="H136" s="5" t="inlineStr">
        <is>
          <t>Unitaria / Integración</t>
        </is>
      </c>
      <c r="I136" s="5" t="inlineStr">
        <is>
          <t>Funcional</t>
        </is>
      </c>
      <c r="J136" s="5" t="inlineStr">
        <is>
          <t>Vitest frontend</t>
        </is>
      </c>
      <c r="K136" s="5" t="inlineStr">
        <is>
          <t>frontend/src/tests/unit/components/PasswordForms.test.tsx</t>
        </is>
      </c>
      <c r="L136" s="5" t="inlineStr">
        <is>
          <t>Todas las pruebas del archivo pasan</t>
        </is>
      </c>
      <c r="M136" s="5" t="inlineStr">
        <is>
          <t>13/13 pasan</t>
        </is>
      </c>
      <c r="N136" s="7" t="inlineStr">
        <is>
          <t>Aprobado</t>
        </is>
      </c>
      <c r="O136" s="5" t="inlineStr">
        <is>
          <t>2026-10-27</t>
        </is>
      </c>
      <c r="P136" s="5" t="inlineStr">
        <is>
          <t>docs/evidencia-final-equipo/vitest-frontend.json</t>
        </is>
      </c>
      <c r="Q136" s="5" t="inlineStr">
        <is>
          <t>-</t>
        </is>
      </c>
    </row>
    <row r="137">
      <c r="A137" s="5" t="inlineStr">
        <is>
          <t>Tomás Henao</t>
        </is>
      </c>
      <c r="B137" s="5" t="inlineStr">
        <is>
          <t>Usuarios</t>
        </is>
      </c>
      <c r="C137" s="5" t="inlineStr">
        <is>
          <t>RF-09</t>
        </is>
      </c>
      <c r="D137" s="5" t="inlineStr">
        <is>
          <t>Restablecimiento seguro de contraseña</t>
        </is>
      </c>
      <c r="E137" s="5" t="inlineStr">
        <is>
          <t>Vitest frontend · unitaria</t>
        </is>
      </c>
      <c r="F137" s="5" t="inlineStr">
        <is>
          <t>VT-usePasswordReset.test</t>
        </is>
      </c>
      <c r="G137" s="5" t="inlineStr">
        <is>
          <t>usePasswordReset.test.ts (8 pruebas)</t>
        </is>
      </c>
      <c r="H137" s="5" t="inlineStr">
        <is>
          <t>Unitaria / Integración</t>
        </is>
      </c>
      <c r="I137" s="5" t="inlineStr">
        <is>
          <t>Funcional</t>
        </is>
      </c>
      <c r="J137" s="5" t="inlineStr">
        <is>
          <t>Vitest frontend</t>
        </is>
      </c>
      <c r="K137" s="5" t="inlineStr">
        <is>
          <t>frontend/src/tests/unit/auth/usePasswordReset.test.ts</t>
        </is>
      </c>
      <c r="L137" s="5" t="inlineStr">
        <is>
          <t>Todas las pruebas del archivo pasan</t>
        </is>
      </c>
      <c r="M137" s="5" t="inlineStr">
        <is>
          <t>8/8 pasan</t>
        </is>
      </c>
      <c r="N137" s="7" t="inlineStr">
        <is>
          <t>Aprobado</t>
        </is>
      </c>
      <c r="O137" s="5" t="inlineStr">
        <is>
          <t>2026-10-27</t>
        </is>
      </c>
      <c r="P137" s="5" t="inlineStr">
        <is>
          <t>docs/evidencia-final-equipo/vitest-frontend.json</t>
        </is>
      </c>
      <c r="Q137" s="5" t="inlineStr">
        <is>
          <t>-</t>
        </is>
      </c>
    </row>
    <row r="138">
      <c r="A138" s="5" t="inlineStr">
        <is>
          <t>Tomás Henao</t>
        </is>
      </c>
      <c r="B138" s="5" t="inlineStr">
        <is>
          <t>Usuarios</t>
        </is>
      </c>
      <c r="C138" s="5" t="inlineStr">
        <is>
          <t>RF-09</t>
        </is>
      </c>
      <c r="D138" s="5" t="inlineStr">
        <is>
          <t>Restablecimiento seguro de contraseña</t>
        </is>
      </c>
      <c r="E138" s="5" t="inlineStr">
        <is>
          <t>Vitest frontend · unitaria</t>
        </is>
      </c>
      <c r="F138" s="5" t="inlineStr">
        <is>
          <t>VT-usePasswordReset.test</t>
        </is>
      </c>
      <c r="G138" s="5" t="inlineStr">
        <is>
          <t>usePasswordReset.test.ts (8 pruebas)</t>
        </is>
      </c>
      <c r="H138" s="5" t="inlineStr">
        <is>
          <t>Unitaria / Integración</t>
        </is>
      </c>
      <c r="I138" s="5" t="inlineStr">
        <is>
          <t>Funcional</t>
        </is>
      </c>
      <c r="J138" s="5" t="inlineStr">
        <is>
          <t>Vitest frontend</t>
        </is>
      </c>
      <c r="K138" s="5" t="inlineStr">
        <is>
          <t>frontend/src/tests/unit/hooks/usePasswordReset.test.ts</t>
        </is>
      </c>
      <c r="L138" s="5" t="inlineStr">
        <is>
          <t>Todas las pruebas del archivo pasan</t>
        </is>
      </c>
      <c r="M138" s="5" t="inlineStr">
        <is>
          <t>8/8 pasan</t>
        </is>
      </c>
      <c r="N138" s="7" t="inlineStr">
        <is>
          <t>Aprobado</t>
        </is>
      </c>
      <c r="O138" s="5" t="inlineStr">
        <is>
          <t>2026-10-27</t>
        </is>
      </c>
      <c r="P138" s="5" t="inlineStr">
        <is>
          <t>docs/evidencia-final-equipo/vitest-frontend.json</t>
        </is>
      </c>
      <c r="Q138" s="5" t="inlineStr">
        <is>
          <t>-</t>
        </is>
      </c>
    </row>
    <row r="139">
      <c r="A139" s="5" t="inlineStr">
        <is>
          <t>Tomás Henao</t>
        </is>
      </c>
      <c r="B139" s="5" t="inlineStr">
        <is>
          <t>Usuarios</t>
        </is>
      </c>
      <c r="C139" s="5" t="inlineStr">
        <is>
          <t>RF-13</t>
        </is>
      </c>
      <c r="D139" s="5" t="inlineStr">
        <is>
          <t>Validación 2FA durante la autenticación</t>
        </is>
      </c>
      <c r="E139" s="5" t="inlineStr">
        <is>
          <t>ESC074</t>
        </is>
      </c>
      <c r="F139" s="5" t="inlineStr">
        <is>
          <t>TC279</t>
        </is>
      </c>
      <c r="G139" s="5" t="inlineStr">
        <is>
          <t>Código correcto</t>
        </is>
      </c>
      <c r="H139" s="5" t="inlineStr">
        <is>
          <t>Sistema</t>
        </is>
      </c>
      <c r="I139" s="5" t="inlineStr">
        <is>
          <t>Funcional</t>
        </is>
      </c>
      <c r="J139" s="5" t="inlineStr">
        <is>
          <t>Casos del Excel (diseño + ejecución manual)</t>
        </is>
      </c>
      <c r="K139" s="5" t="inlineStr">
        <is>
          <t>Casos y Escenarios FuBank.xlsx</t>
        </is>
      </c>
      <c r="L139" s="5" t="inlineStr">
        <is>
          <t>Usuario ingresa correctamente el código recibido en su correo.</t>
        </is>
      </c>
      <c r="M139" s="5" t="inlineStr">
        <is>
          <t>Sin resultado en el Excel</t>
        </is>
      </c>
      <c r="N139" s="6" t="inlineStr">
        <is>
          <t>Sin resultado registrado</t>
        </is>
      </c>
      <c r="O139" s="5" t="inlineStr">
        <is>
          <t>-</t>
        </is>
      </c>
      <c r="P139" s="5" t="inlineStr">
        <is>
          <t>Excel (hoja Casos de Prueba Detallado)</t>
        </is>
      </c>
      <c r="Q139" s="5" t="inlineStr">
        <is>
          <t>N/A</t>
        </is>
      </c>
    </row>
    <row r="140">
      <c r="A140" s="5" t="inlineStr">
        <is>
          <t>Tomás Henao</t>
        </is>
      </c>
      <c r="B140" s="5" t="inlineStr">
        <is>
          <t>Usuarios</t>
        </is>
      </c>
      <c r="C140" s="5" t="inlineStr">
        <is>
          <t>RF-13</t>
        </is>
      </c>
      <c r="D140" s="5" t="inlineStr">
        <is>
          <t>Validación 2FA durante la autenticación</t>
        </is>
      </c>
      <c r="E140" s="5" t="inlineStr">
        <is>
          <t>ESC074</t>
        </is>
      </c>
      <c r="F140" s="5" t="inlineStr">
        <is>
          <t>TC280</t>
        </is>
      </c>
      <c r="G140" s="5" t="inlineStr">
        <is>
          <t>Código incorrecto</t>
        </is>
      </c>
      <c r="H140" s="5" t="inlineStr">
        <is>
          <t>Sistema</t>
        </is>
      </c>
      <c r="I140" s="5" t="inlineStr">
        <is>
          <t>Seguridad</t>
        </is>
      </c>
      <c r="J140" s="5" t="inlineStr">
        <is>
          <t>Casos del Excel (diseño + ejecución manual)</t>
        </is>
      </c>
      <c r="K140" s="5" t="inlineStr">
        <is>
          <t>Casos y Escenarios FuBank.xlsx</t>
        </is>
      </c>
      <c r="L140" s="5" t="inlineStr">
        <is>
          <t>Usuario ingresa un código diferente al enviado por el sistema.</t>
        </is>
      </c>
      <c r="M140" s="5" t="inlineStr">
        <is>
          <t>Sin resultado en el Excel</t>
        </is>
      </c>
      <c r="N140" s="6" t="inlineStr">
        <is>
          <t>Sin resultado registrado</t>
        </is>
      </c>
      <c r="O140" s="5" t="inlineStr">
        <is>
          <t>-</t>
        </is>
      </c>
      <c r="P140" s="5" t="inlineStr">
        <is>
          <t>Excel (hoja Casos de Prueba Detallado)</t>
        </is>
      </c>
      <c r="Q140" s="5" t="inlineStr">
        <is>
          <t>N/A</t>
        </is>
      </c>
    </row>
    <row r="141">
      <c r="A141" s="5" t="inlineStr">
        <is>
          <t>Tomás Henao</t>
        </is>
      </c>
      <c r="B141" s="5" t="inlineStr">
        <is>
          <t>Usuarios</t>
        </is>
      </c>
      <c r="C141" s="5" t="inlineStr">
        <is>
          <t>RF-13</t>
        </is>
      </c>
      <c r="D141" s="5" t="inlineStr">
        <is>
          <t>Validación 2FA durante la autenticación</t>
        </is>
      </c>
      <c r="E141" s="5" t="inlineStr">
        <is>
          <t>ESC074</t>
        </is>
      </c>
      <c r="F141" s="5" t="inlineStr">
        <is>
          <t>TC281</t>
        </is>
      </c>
      <c r="G141" s="5" t="inlineStr">
        <is>
          <t>Código vacío</t>
        </is>
      </c>
      <c r="H141" s="5" t="inlineStr">
        <is>
          <t>Sistema</t>
        </is>
      </c>
      <c r="I141" s="5" t="inlineStr">
        <is>
          <t>Funcional</t>
        </is>
      </c>
      <c r="J141" s="5" t="inlineStr">
        <is>
          <t>Casos del Excel (diseño + ejecución manual)</t>
        </is>
      </c>
      <c r="K141" s="5" t="inlineStr">
        <is>
          <t>Casos y Escenarios FuBank.xlsx</t>
        </is>
      </c>
      <c r="L141" s="5" t="inlineStr">
        <is>
          <t>Usuario intenta continuar sin ingresar ningún código de verificación.</t>
        </is>
      </c>
      <c r="M141" s="5" t="inlineStr">
        <is>
          <t>Sin resultado en el Excel</t>
        </is>
      </c>
      <c r="N141" s="6" t="inlineStr">
        <is>
          <t>Sin resultado registrado</t>
        </is>
      </c>
      <c r="O141" s="5" t="inlineStr">
        <is>
          <t>-</t>
        </is>
      </c>
      <c r="P141" s="5" t="inlineStr">
        <is>
          <t>Excel (hoja Casos de Prueba Detallado)</t>
        </is>
      </c>
      <c r="Q141" s="5" t="inlineStr">
        <is>
          <t>N/A</t>
        </is>
      </c>
    </row>
    <row r="142">
      <c r="A142" s="5" t="inlineStr">
        <is>
          <t>Tomás Henao</t>
        </is>
      </c>
      <c r="B142" s="5" t="inlineStr">
        <is>
          <t>Usuarios</t>
        </is>
      </c>
      <c r="C142" s="5" t="inlineStr">
        <is>
          <t>RF-13</t>
        </is>
      </c>
      <c r="D142" s="5" t="inlineStr">
        <is>
          <t>Validación 2FA durante la autenticación</t>
        </is>
      </c>
      <c r="E142" s="5" t="inlineStr">
        <is>
          <t>ESC074</t>
        </is>
      </c>
      <c r="F142" s="5" t="inlineStr">
        <is>
          <t>TC282</t>
        </is>
      </c>
      <c r="G142" s="5" t="inlineStr">
        <is>
          <t>Código incompleto</t>
        </is>
      </c>
      <c r="H142" s="5" t="inlineStr">
        <is>
          <t>Sistema</t>
        </is>
      </c>
      <c r="I142" s="5" t="inlineStr">
        <is>
          <t>Funcional</t>
        </is>
      </c>
      <c r="J142" s="5" t="inlineStr">
        <is>
          <t>Casos del Excel (diseño + ejecución manual)</t>
        </is>
      </c>
      <c r="K142" s="5" t="inlineStr">
        <is>
          <t>Casos y Escenarios FuBank.xlsx</t>
        </is>
      </c>
      <c r="L142" s="5" t="inlineStr">
        <is>
          <t>Usuario ingresa un código con menos caracteres de los establecidos.</t>
        </is>
      </c>
      <c r="M142" s="5" t="inlineStr">
        <is>
          <t>Sin resultado en el Excel</t>
        </is>
      </c>
      <c r="N142" s="6" t="inlineStr">
        <is>
          <t>Sin resultado registrado</t>
        </is>
      </c>
      <c r="O142" s="5" t="inlineStr">
        <is>
          <t>-</t>
        </is>
      </c>
      <c r="P142" s="5" t="inlineStr">
        <is>
          <t>Excel (hoja Casos de Prueba Detallado)</t>
        </is>
      </c>
      <c r="Q142" s="5" t="inlineStr">
        <is>
          <t>N/A</t>
        </is>
      </c>
    </row>
    <row r="143">
      <c r="A143" s="5" t="inlineStr">
        <is>
          <t>Tomás Henao</t>
        </is>
      </c>
      <c r="B143" s="5" t="inlineStr">
        <is>
          <t>Usuarios</t>
        </is>
      </c>
      <c r="C143" s="5" t="inlineStr">
        <is>
          <t>RF-13</t>
        </is>
      </c>
      <c r="D143" s="5" t="inlineStr">
        <is>
          <t>Validación 2FA durante la autenticación</t>
        </is>
      </c>
      <c r="E143" s="5" t="inlineStr">
        <is>
          <t>ESC074</t>
        </is>
      </c>
      <c r="F143" s="5" t="inlineStr">
        <is>
          <t>TC283</t>
        </is>
      </c>
      <c r="G143" s="5" t="inlineStr">
        <is>
          <t>Código excesivamente largo</t>
        </is>
      </c>
      <c r="H143" s="5" t="inlineStr">
        <is>
          <t>Sistema</t>
        </is>
      </c>
      <c r="I143" s="5" t="inlineStr">
        <is>
          <t>Funcional</t>
        </is>
      </c>
      <c r="J143" s="5" t="inlineStr">
        <is>
          <t>Casos del Excel (diseño + ejecución manual)</t>
        </is>
      </c>
      <c r="K143" s="5" t="inlineStr">
        <is>
          <t>Casos y Escenarios FuBank.xlsx</t>
        </is>
      </c>
      <c r="L143" s="5" t="inlineStr">
        <is>
          <t>Usuario ingresa un código que supera la longitud establecida.</t>
        </is>
      </c>
      <c r="M143" s="5" t="inlineStr">
        <is>
          <t>Sin resultado en el Excel</t>
        </is>
      </c>
      <c r="N143" s="6" t="inlineStr">
        <is>
          <t>Sin resultado registrado</t>
        </is>
      </c>
      <c r="O143" s="5" t="inlineStr">
        <is>
          <t>-</t>
        </is>
      </c>
      <c r="P143" s="5" t="inlineStr">
        <is>
          <t>Excel (hoja Casos de Prueba Detallado)</t>
        </is>
      </c>
      <c r="Q143" s="5" t="inlineStr">
        <is>
          <t>N/A</t>
        </is>
      </c>
    </row>
    <row r="144">
      <c r="A144" s="5" t="inlineStr">
        <is>
          <t>Tomás Henao</t>
        </is>
      </c>
      <c r="B144" s="5" t="inlineStr">
        <is>
          <t>Usuarios</t>
        </is>
      </c>
      <c r="C144" s="5" t="inlineStr">
        <is>
          <t>RF-13</t>
        </is>
      </c>
      <c r="D144" s="5" t="inlineStr">
        <is>
          <t>Validación 2FA durante la autenticación</t>
        </is>
      </c>
      <c r="E144" s="5" t="inlineStr">
        <is>
          <t>ESC074</t>
        </is>
      </c>
      <c r="F144" s="5" t="inlineStr">
        <is>
          <t>TC284</t>
        </is>
      </c>
      <c r="G144" s="5" t="inlineStr">
        <is>
          <t>Caracteres inválidos</t>
        </is>
      </c>
      <c r="H144" s="5" t="inlineStr">
        <is>
          <t>Sistema</t>
        </is>
      </c>
      <c r="I144" s="5" t="inlineStr">
        <is>
          <t>Funcional</t>
        </is>
      </c>
      <c r="J144" s="5" t="inlineStr">
        <is>
          <t>Casos del Excel (diseño + ejecución manual)</t>
        </is>
      </c>
      <c r="K144" s="5" t="inlineStr">
        <is>
          <t>Casos y Escenarios FuBank.xlsx</t>
        </is>
      </c>
      <c r="L144" s="5" t="inlineStr">
        <is>
          <t>Usuario introduce caracteres no permitidos en el campo destinado al código de verificación.</t>
        </is>
      </c>
      <c r="M144" s="5" t="inlineStr">
        <is>
          <t>Sin resultado en el Excel</t>
        </is>
      </c>
      <c r="N144" s="6" t="inlineStr">
        <is>
          <t>Sin resultado registrado</t>
        </is>
      </c>
      <c r="O144" s="5" t="inlineStr">
        <is>
          <t>-</t>
        </is>
      </c>
      <c r="P144" s="5" t="inlineStr">
        <is>
          <t>Excel (hoja Casos de Prueba Detallado)</t>
        </is>
      </c>
      <c r="Q144" s="5" t="inlineStr">
        <is>
          <t>N/A</t>
        </is>
      </c>
    </row>
    <row r="145">
      <c r="A145" s="5" t="inlineStr">
        <is>
          <t>Tomás Henao</t>
        </is>
      </c>
      <c r="B145" s="5" t="inlineStr">
        <is>
          <t>Usuarios</t>
        </is>
      </c>
      <c r="C145" s="5" t="inlineStr">
        <is>
          <t>RF-13</t>
        </is>
      </c>
      <c r="D145" s="5" t="inlineStr">
        <is>
          <t>Validación 2FA durante la autenticación</t>
        </is>
      </c>
      <c r="E145" s="5" t="inlineStr">
        <is>
          <t>ESC075</t>
        </is>
      </c>
      <c r="F145" s="5" t="inlineStr">
        <is>
          <t>TC285</t>
        </is>
      </c>
      <c r="G145" s="5" t="inlineStr">
        <is>
          <t>Código expirado</t>
        </is>
      </c>
      <c r="H145" s="5" t="inlineStr">
        <is>
          <t>Sistema</t>
        </is>
      </c>
      <c r="I145" s="5" t="inlineStr">
        <is>
          <t>Seguridad</t>
        </is>
      </c>
      <c r="J145" s="5" t="inlineStr">
        <is>
          <t>Casos del Excel (diseño + ejecución manual)</t>
        </is>
      </c>
      <c r="K145" s="5" t="inlineStr">
        <is>
          <t>Casos y Escenarios FuBank.xlsx</t>
        </is>
      </c>
      <c r="L145" s="5" t="inlineStr">
        <is>
          <t>Usuario intenta utilizar el código después de superar el tiempo de validez establecido.</t>
        </is>
      </c>
      <c r="M145" s="5" t="inlineStr">
        <is>
          <t>Sin resultado en el Excel</t>
        </is>
      </c>
      <c r="N145" s="6" t="inlineStr">
        <is>
          <t>Sin resultado registrado</t>
        </is>
      </c>
      <c r="O145" s="5" t="inlineStr">
        <is>
          <t>-</t>
        </is>
      </c>
      <c r="P145" s="5" t="inlineStr">
        <is>
          <t>Excel (hoja Casos de Prueba Detallado)</t>
        </is>
      </c>
      <c r="Q145" s="5" t="inlineStr">
        <is>
          <t>N/A</t>
        </is>
      </c>
    </row>
    <row r="146">
      <c r="A146" s="5" t="inlineStr">
        <is>
          <t>Tomás Henao</t>
        </is>
      </c>
      <c r="B146" s="5" t="inlineStr">
        <is>
          <t>Usuarios</t>
        </is>
      </c>
      <c r="C146" s="5" t="inlineStr">
        <is>
          <t>RF-13</t>
        </is>
      </c>
      <c r="D146" s="5" t="inlineStr">
        <is>
          <t>Validación 2FA durante la autenticación</t>
        </is>
      </c>
      <c r="E146" s="5" t="inlineStr">
        <is>
          <t>ESC075</t>
        </is>
      </c>
      <c r="F146" s="5" t="inlineStr">
        <is>
          <t>TC286</t>
        </is>
      </c>
      <c r="G146" s="5" t="inlineStr">
        <is>
          <t>Código reutilizado</t>
        </is>
      </c>
      <c r="H146" s="5" t="inlineStr">
        <is>
          <t>Sistema</t>
        </is>
      </c>
      <c r="I146" s="5" t="inlineStr">
        <is>
          <t>Seguridad</t>
        </is>
      </c>
      <c r="J146" s="5" t="inlineStr">
        <is>
          <t>Casos del Excel (diseño + ejecución manual)</t>
        </is>
      </c>
      <c r="K146" s="5" t="inlineStr">
        <is>
          <t>Casos y Escenarios FuBank.xlsx</t>
        </is>
      </c>
      <c r="L146" s="5" t="inlineStr">
        <is>
          <t>Usuario intenta utilizar nuevamente un código que ya fue utilizado exitosamente.</t>
        </is>
      </c>
      <c r="M146" s="5" t="inlineStr">
        <is>
          <t>Sin resultado en el Excel</t>
        </is>
      </c>
      <c r="N146" s="6" t="inlineStr">
        <is>
          <t>Sin resultado registrado</t>
        </is>
      </c>
      <c r="O146" s="5" t="inlineStr">
        <is>
          <t>-</t>
        </is>
      </c>
      <c r="P146" s="5" t="inlineStr">
        <is>
          <t>Excel (hoja Casos de Prueba Detallado)</t>
        </is>
      </c>
      <c r="Q146" s="5" t="inlineStr">
        <is>
          <t>N/A</t>
        </is>
      </c>
    </row>
    <row r="147">
      <c r="A147" s="5" t="inlineStr">
        <is>
          <t>Tomás Henao</t>
        </is>
      </c>
      <c r="B147" s="5" t="inlineStr">
        <is>
          <t>Usuarios</t>
        </is>
      </c>
      <c r="C147" s="5" t="inlineStr">
        <is>
          <t>RF-13</t>
        </is>
      </c>
      <c r="D147" s="5" t="inlineStr">
        <is>
          <t>Validación 2FA durante la autenticación</t>
        </is>
      </c>
      <c r="E147" s="5" t="inlineStr">
        <is>
          <t>ESC075</t>
        </is>
      </c>
      <c r="F147" s="5" t="inlineStr">
        <is>
          <t>TC287</t>
        </is>
      </c>
      <c r="G147" s="5" t="inlineStr">
        <is>
          <t>Código de autenticación anterior</t>
        </is>
      </c>
      <c r="H147" s="5" t="inlineStr">
        <is>
          <t>Sistema</t>
        </is>
      </c>
      <c r="I147" s="5" t="inlineStr">
        <is>
          <t>Seguridad</t>
        </is>
      </c>
      <c r="J147" s="5" t="inlineStr">
        <is>
          <t>Casos del Excel (diseño + ejecución manual)</t>
        </is>
      </c>
      <c r="K147" s="5" t="inlineStr">
        <is>
          <t>Casos y Escenarios FuBank.xlsx</t>
        </is>
      </c>
      <c r="L147" s="5" t="inlineStr">
        <is>
          <t>Usuario inicia un nuevo proceso de autenticación e intenta utilizar un código generado durante un inicio de sesión anterior.</t>
        </is>
      </c>
      <c r="M147" s="5" t="inlineStr">
        <is>
          <t>Sin resultado en el Excel</t>
        </is>
      </c>
      <c r="N147" s="6" t="inlineStr">
        <is>
          <t>Sin resultado registrado</t>
        </is>
      </c>
      <c r="O147" s="5" t="inlineStr">
        <is>
          <t>-</t>
        </is>
      </c>
      <c r="P147" s="5" t="inlineStr">
        <is>
          <t>Excel (hoja Casos de Prueba Detallado)</t>
        </is>
      </c>
      <c r="Q147" s="5" t="inlineStr">
        <is>
          <t>N/A</t>
        </is>
      </c>
    </row>
    <row r="148">
      <c r="A148" s="5" t="inlineStr">
        <is>
          <t>Tomás Henao</t>
        </is>
      </c>
      <c r="B148" s="5" t="inlineStr">
        <is>
          <t>Usuarios</t>
        </is>
      </c>
      <c r="C148" s="5" t="inlineStr">
        <is>
          <t>RF-13</t>
        </is>
      </c>
      <c r="D148" s="5" t="inlineStr">
        <is>
          <t>Validación 2FA durante la autenticación</t>
        </is>
      </c>
      <c r="E148" s="5" t="inlineStr">
        <is>
          <t>ESC075</t>
        </is>
      </c>
      <c r="F148" s="5" t="inlineStr">
        <is>
          <t>TC288</t>
        </is>
      </c>
      <c r="G148" s="5" t="inlineStr">
        <is>
          <t>Código en límite de expiración</t>
        </is>
      </c>
      <c r="H148" s="5" t="inlineStr">
        <is>
          <t>Sistema</t>
        </is>
      </c>
      <c r="I148" s="5" t="inlineStr">
        <is>
          <t>Seguridad</t>
        </is>
      </c>
      <c r="J148" s="5" t="inlineStr">
        <is>
          <t>Casos del Excel (diseño + ejecución manual)</t>
        </is>
      </c>
      <c r="K148" s="5" t="inlineStr">
        <is>
          <t>Casos y Escenarios FuBank.xlsx</t>
        </is>
      </c>
      <c r="L148" s="5" t="inlineStr">
        <is>
          <t>Usuario introduce el código justo antes de alcanzar el tiempo máximo de validez.</t>
        </is>
      </c>
      <c r="M148" s="5" t="inlineStr">
        <is>
          <t>Sin resultado en el Excel</t>
        </is>
      </c>
      <c r="N148" s="6" t="inlineStr">
        <is>
          <t>Sin resultado registrado</t>
        </is>
      </c>
      <c r="O148" s="5" t="inlineStr">
        <is>
          <t>-</t>
        </is>
      </c>
      <c r="P148" s="5" t="inlineStr">
        <is>
          <t>Excel (hoja Casos de Prueba Detallado)</t>
        </is>
      </c>
      <c r="Q148" s="5" t="inlineStr">
        <is>
          <t>N/A</t>
        </is>
      </c>
    </row>
    <row r="149">
      <c r="A149" s="5" t="inlineStr">
        <is>
          <t>Tomás Henao</t>
        </is>
      </c>
      <c r="B149" s="5" t="inlineStr">
        <is>
          <t>Usuarios</t>
        </is>
      </c>
      <c r="C149" s="5" t="inlineStr">
        <is>
          <t>RF-13</t>
        </is>
      </c>
      <c r="D149" s="5" t="inlineStr">
        <is>
          <t>Validación 2FA durante la autenticación</t>
        </is>
      </c>
      <c r="E149" s="5" t="inlineStr">
        <is>
          <t>ESC075</t>
        </is>
      </c>
      <c r="F149" s="5" t="inlineStr">
        <is>
          <t>TC289</t>
        </is>
      </c>
      <c r="G149" s="5" t="inlineStr">
        <is>
          <t>Nuevo código durante autenticación</t>
        </is>
      </c>
      <c r="H149" s="5" t="inlineStr">
        <is>
          <t>Sistema</t>
        </is>
      </c>
      <c r="I149" s="5" t="inlineStr">
        <is>
          <t>Seguridad</t>
        </is>
      </c>
      <c r="J149" s="5" t="inlineStr">
        <is>
          <t>Casos del Excel (diseño + ejecución manual)</t>
        </is>
      </c>
      <c r="K149" s="5" t="inlineStr">
        <is>
          <t>Casos y Escenarios FuBank.xlsx</t>
        </is>
      </c>
      <c r="L149" s="5" t="inlineStr">
        <is>
          <t>Usuario inicia nuevamente el proceso de autenticación y recibe un nuevo código, intentando posteriormente utilizar el código anterior.</t>
        </is>
      </c>
      <c r="M149" s="5" t="inlineStr">
        <is>
          <t>Sin resultado en el Excel</t>
        </is>
      </c>
      <c r="N149" s="6" t="inlineStr">
        <is>
          <t>Sin resultado registrado</t>
        </is>
      </c>
      <c r="O149" s="5" t="inlineStr">
        <is>
          <t>-</t>
        </is>
      </c>
      <c r="P149" s="5" t="inlineStr">
        <is>
          <t>Excel (hoja Casos de Prueba Detallado)</t>
        </is>
      </c>
      <c r="Q149" s="5" t="inlineStr">
        <is>
          <t>N/A</t>
        </is>
      </c>
    </row>
    <row r="150">
      <c r="A150" s="5" t="inlineStr">
        <is>
          <t>Tomás Henao</t>
        </is>
      </c>
      <c r="B150" s="5" t="inlineStr">
        <is>
          <t>Usuarios</t>
        </is>
      </c>
      <c r="C150" s="5" t="inlineStr">
        <is>
          <t>RF-13</t>
        </is>
      </c>
      <c r="D150" s="5" t="inlineStr">
        <is>
          <t>Validación 2FA durante la autenticación</t>
        </is>
      </c>
      <c r="E150" s="5" t="inlineStr">
        <is>
          <t>auth/login-2fa.cy.ts</t>
        </is>
      </c>
      <c r="F150" s="5" t="inlineStr">
        <is>
          <t>CYU-LOGIN--01</t>
        </is>
      </c>
      <c r="G150" s="5" t="inlineStr">
        <is>
          <t>CP01: Login 2FA Exitoso con código capturado del backend</t>
        </is>
      </c>
      <c r="H150" s="5" t="inlineStr">
        <is>
          <t>Sistema (E2E)</t>
        </is>
      </c>
      <c r="I150" s="5" t="inlineStr">
        <is>
          <t>Funcional</t>
        </is>
      </c>
      <c r="J150" s="5" t="inlineStr">
        <is>
          <t>Cypress (Usuarios y Retiro, Tomás)</t>
        </is>
      </c>
      <c r="K150" s="5" t="inlineStr">
        <is>
          <t>cypress/e2e/auth/login-2fa.cy.ts</t>
        </is>
      </c>
      <c r="L150" s="5" t="inlineStr">
        <is>
          <t>CP01: Login 2FA Exitoso con código capturado del backend</t>
        </is>
      </c>
      <c r="M150" s="5" t="inlineStr">
        <is>
          <t>No ejecutado: usa /auth/test-helper/* y las cuentas fijas de c9ce5f4 (regresión REG-01 abierta)</t>
        </is>
      </c>
      <c r="N150" s="6" t="inlineStr">
        <is>
          <t>No ejecutado</t>
        </is>
      </c>
      <c r="O150" s="5" t="inlineStr">
        <is>
          <t>-</t>
        </is>
      </c>
      <c r="P150" s="5" t="inlineStr">
        <is>
          <t>-</t>
        </is>
      </c>
      <c r="Q150" s="5" t="inlineStr">
        <is>
          <t>-</t>
        </is>
      </c>
    </row>
    <row r="151">
      <c r="A151" s="5" t="inlineStr">
        <is>
          <t>Tomás Henao</t>
        </is>
      </c>
      <c r="B151" s="5" t="inlineStr">
        <is>
          <t>Usuarios</t>
        </is>
      </c>
      <c r="C151" s="5" t="inlineStr">
        <is>
          <t>RF-13</t>
        </is>
      </c>
      <c r="D151" s="5" t="inlineStr">
        <is>
          <t>Validación 2FA durante la autenticación</t>
        </is>
      </c>
      <c r="E151" s="5" t="inlineStr">
        <is>
          <t>auth/login-2fa.cy.ts</t>
        </is>
      </c>
      <c r="F151" s="5" t="inlineStr">
        <is>
          <t>CYU-LOGIN--02</t>
        </is>
      </c>
      <c r="G151" s="5" t="inlineStr">
        <is>
          <t>CP02: Login 2FA con código incorrecto muestra mensaje de error</t>
        </is>
      </c>
      <c r="H151" s="5" t="inlineStr">
        <is>
          <t>Sistema (E2E)</t>
        </is>
      </c>
      <c r="I151" s="5" t="inlineStr">
        <is>
          <t>Funcional</t>
        </is>
      </c>
      <c r="J151" s="5" t="inlineStr">
        <is>
          <t>Cypress (Usuarios y Retiro, Tomás)</t>
        </is>
      </c>
      <c r="K151" s="5" t="inlineStr">
        <is>
          <t>cypress/e2e/auth/login-2fa.cy.ts</t>
        </is>
      </c>
      <c r="L151" s="5" t="inlineStr">
        <is>
          <t>CP02: Login 2FA con código incorrecto muestra mensaje de error</t>
        </is>
      </c>
      <c r="M151" s="5" t="inlineStr">
        <is>
          <t>No ejecutado: usa /auth/test-helper/* y las cuentas fijas de c9ce5f4 (regresión REG-01 abierta)</t>
        </is>
      </c>
      <c r="N151" s="6" t="inlineStr">
        <is>
          <t>No ejecutado</t>
        </is>
      </c>
      <c r="O151" s="5" t="inlineStr">
        <is>
          <t>-</t>
        </is>
      </c>
      <c r="P151" s="5" t="inlineStr">
        <is>
          <t>-</t>
        </is>
      </c>
      <c r="Q151" s="5" t="inlineStr">
        <is>
          <t>-</t>
        </is>
      </c>
    </row>
    <row r="152">
      <c r="A152" s="5" t="inlineStr">
        <is>
          <t>Tomás Henao</t>
        </is>
      </c>
      <c r="B152" s="5" t="inlineStr">
        <is>
          <t>Usuarios</t>
        </is>
      </c>
      <c r="C152" s="5" t="inlineStr">
        <is>
          <t>RF-13</t>
        </is>
      </c>
      <c r="D152" s="5" t="inlineStr">
        <is>
          <t>Validación 2FA durante la autenticación</t>
        </is>
      </c>
      <c r="E152" s="5" t="inlineStr">
        <is>
          <t>auth/login-2fa.cy.ts</t>
        </is>
      </c>
      <c r="F152" s="5" t="inlineStr">
        <is>
          <t>CYU-LOGIN--03</t>
        </is>
      </c>
      <c r="G152" s="5" t="inlineStr">
        <is>
          <t>CP03: Reenvío de código 2FA e inicio de sesión con el nuevo código</t>
        </is>
      </c>
      <c r="H152" s="5" t="inlineStr">
        <is>
          <t>Sistema (E2E)</t>
        </is>
      </c>
      <c r="I152" s="5" t="inlineStr">
        <is>
          <t>Funcional</t>
        </is>
      </c>
      <c r="J152" s="5" t="inlineStr">
        <is>
          <t>Cypress (Usuarios y Retiro, Tomás)</t>
        </is>
      </c>
      <c r="K152" s="5" t="inlineStr">
        <is>
          <t>cypress/e2e/auth/login-2fa.cy.ts</t>
        </is>
      </c>
      <c r="L152" s="5" t="inlineStr">
        <is>
          <t>CP03: Reenvío de código 2FA e inicio de sesión con el nuevo código</t>
        </is>
      </c>
      <c r="M152" s="5" t="inlineStr">
        <is>
          <t>No ejecutado: usa /auth/test-helper/* y las cuentas fijas de c9ce5f4 (regresión REG-01 abierta)</t>
        </is>
      </c>
      <c r="N152" s="6" t="inlineStr">
        <is>
          <t>No ejecutado</t>
        </is>
      </c>
      <c r="O152" s="5" t="inlineStr">
        <is>
          <t>-</t>
        </is>
      </c>
      <c r="P152" s="5" t="inlineStr">
        <is>
          <t>-</t>
        </is>
      </c>
      <c r="Q152" s="5" t="inlineStr">
        <is>
          <t>-</t>
        </is>
      </c>
    </row>
    <row r="153">
      <c r="A153" s="5" t="inlineStr">
        <is>
          <t>Tomás Henao</t>
        </is>
      </c>
      <c r="B153" s="5" t="inlineStr">
        <is>
          <t>Usuarios</t>
        </is>
      </c>
      <c r="C153" s="5" t="inlineStr">
        <is>
          <t>RF-13</t>
        </is>
      </c>
      <c r="D153" s="5" t="inlineStr">
        <is>
          <t>Validación 2FA durante la autenticación</t>
        </is>
      </c>
      <c r="E153" s="5" t="inlineStr">
        <is>
          <t>auth/login-2fa.cy.ts</t>
        </is>
      </c>
      <c r="F153" s="5" t="inlineStr">
        <is>
          <t>CYU-LOGIN--04</t>
        </is>
      </c>
      <c r="G153" s="5" t="inlineStr">
        <is>
          <t>CP04: Acceso directo a /verify-two-factor sin sesión redirige a /login</t>
        </is>
      </c>
      <c r="H153" s="5" t="inlineStr">
        <is>
          <t>Sistema (E2E)</t>
        </is>
      </c>
      <c r="I153" s="5" t="inlineStr">
        <is>
          <t>Funcional</t>
        </is>
      </c>
      <c r="J153" s="5" t="inlineStr">
        <is>
          <t>Cypress (Usuarios y Retiro, Tomás)</t>
        </is>
      </c>
      <c r="K153" s="5" t="inlineStr">
        <is>
          <t>cypress/e2e/auth/login-2fa.cy.ts</t>
        </is>
      </c>
      <c r="L153" s="5" t="inlineStr">
        <is>
          <t>CP04: Acceso directo a /verify-two-factor sin sesión redirige a /login</t>
        </is>
      </c>
      <c r="M153" s="5" t="inlineStr">
        <is>
          <t>No ejecutado: usa /auth/test-helper/* y las cuentas fijas de c9ce5f4 (regresión REG-01 abierta)</t>
        </is>
      </c>
      <c r="N153" s="6" t="inlineStr">
        <is>
          <t>No ejecutado</t>
        </is>
      </c>
      <c r="O153" s="5" t="inlineStr">
        <is>
          <t>-</t>
        </is>
      </c>
      <c r="P153" s="5" t="inlineStr">
        <is>
          <t>-</t>
        </is>
      </c>
      <c r="Q153" s="5" t="inlineStr">
        <is>
          <t>-</t>
        </is>
      </c>
    </row>
    <row r="154">
      <c r="A154" s="5" t="inlineStr">
        <is>
          <t>Tomás Henao</t>
        </is>
      </c>
      <c r="B154" s="5" t="inlineStr">
        <is>
          <t>Usuarios</t>
        </is>
      </c>
      <c r="C154" s="5" t="inlineStr">
        <is>
          <t>RF-13</t>
        </is>
      </c>
      <c r="D154" s="5" t="inlineStr">
        <is>
          <t>Validación 2FA durante la autenticación</t>
        </is>
      </c>
      <c r="E154" s="5" t="inlineStr">
        <is>
          <t>auth/login-2fa.cy.ts</t>
        </is>
      </c>
      <c r="F154" s="5" t="inlineStr">
        <is>
          <t>CYU-LOGIN--05</t>
        </is>
      </c>
      <c r="G154" s="5" t="inlineStr">
        <is>
          <t>CP05: Login con 2FA pero contraseña errónea bloquea acceso antes del 2FA</t>
        </is>
      </c>
      <c r="H154" s="5" t="inlineStr">
        <is>
          <t>Sistema (E2E)</t>
        </is>
      </c>
      <c r="I154" s="5" t="inlineStr">
        <is>
          <t>Funcional</t>
        </is>
      </c>
      <c r="J154" s="5" t="inlineStr">
        <is>
          <t>Cypress (Usuarios y Retiro, Tomás)</t>
        </is>
      </c>
      <c r="K154" s="5" t="inlineStr">
        <is>
          <t>cypress/e2e/auth/login-2fa.cy.ts</t>
        </is>
      </c>
      <c r="L154" s="5" t="inlineStr">
        <is>
          <t>CP05: Login con 2FA pero contraseña errónea bloquea acceso antes del 2FA</t>
        </is>
      </c>
      <c r="M154" s="5" t="inlineStr">
        <is>
          <t>No ejecutado: usa /auth/test-helper/* y las cuentas fijas de c9ce5f4 (regresión REG-01 abierta)</t>
        </is>
      </c>
      <c r="N154" s="6" t="inlineStr">
        <is>
          <t>No ejecutado</t>
        </is>
      </c>
      <c r="O154" s="5" t="inlineStr">
        <is>
          <t>-</t>
        </is>
      </c>
      <c r="P154" s="5" t="inlineStr">
        <is>
          <t>-</t>
        </is>
      </c>
      <c r="Q154" s="5" t="inlineStr">
        <is>
          <t>-</t>
        </is>
      </c>
    </row>
    <row r="155">
      <c r="A155" s="5" t="inlineStr">
        <is>
          <t>Tomás Henao</t>
        </is>
      </c>
      <c r="B155" s="5" t="inlineStr">
        <is>
          <t>Usuarios</t>
        </is>
      </c>
      <c r="C155" s="5" t="inlineStr">
        <is>
          <t>RF-13</t>
        </is>
      </c>
      <c r="D155" s="5" t="inlineStr">
        <is>
          <t>Validación 2FA durante la autenticación</t>
        </is>
      </c>
      <c r="E155" s="5" t="inlineStr">
        <is>
          <t>Katalon Recorder</t>
        </is>
      </c>
      <c r="F155" s="5" t="inlineStr">
        <is>
          <t>Suite_10_Login_2FA</t>
        </is>
      </c>
      <c r="G155" s="5" t="inlineStr">
        <is>
          <t>Suite_10_Login_2FA (Tomás)</t>
        </is>
      </c>
      <c r="H155" s="5" t="inlineStr">
        <is>
          <t>Sistema (E2E)</t>
        </is>
      </c>
      <c r="I155" s="5" t="inlineStr">
        <is>
          <t>Funcional</t>
        </is>
      </c>
      <c r="J155" s="5" t="inlineStr">
        <is>
          <t>Katalon Recorder</t>
        </is>
      </c>
      <c r="K155" s="5" t="inlineStr">
        <is>
          <t>katalon/suites/Suite_10_Login_2FA.html</t>
        </is>
      </c>
      <c r="L155" s="5" t="inlineStr">
        <is>
          <t>Todos los casos de la suite pasan</t>
        </is>
      </c>
      <c r="M155" s="5" t="inlineStr">
        <is>
          <t>Sin resultado registrado en el repositorio</t>
        </is>
      </c>
      <c r="N155" s="6" t="inlineStr">
        <is>
          <t>Sin resultado registrado</t>
        </is>
      </c>
      <c r="O155" s="5" t="inlineStr">
        <is>
          <t>-</t>
        </is>
      </c>
      <c r="P155" s="5" t="inlineStr">
        <is>
          <t>-</t>
        </is>
      </c>
      <c r="Q155" s="5" t="inlineStr">
        <is>
          <t>-</t>
        </is>
      </c>
    </row>
    <row r="156">
      <c r="A156" s="5" t="inlineStr">
        <is>
          <t>Tomás Henao</t>
        </is>
      </c>
      <c r="B156" s="5" t="inlineStr">
        <is>
          <t>Usuarios</t>
        </is>
      </c>
      <c r="C156" s="5" t="inlineStr">
        <is>
          <t>RF-13</t>
        </is>
      </c>
      <c r="D156" s="5" t="inlineStr">
        <is>
          <t>Validación 2FA durante la autenticación</t>
        </is>
      </c>
      <c r="E156" s="5" t="inlineStr">
        <is>
          <t>Stagehand</t>
        </is>
      </c>
      <c r="F156" s="5" t="inlineStr">
        <is>
          <t>SH-T10</t>
        </is>
      </c>
      <c r="G156" s="5" t="inlineStr">
        <is>
          <t>10-login-2fa (act + extract + observe, 8 pasos)</t>
        </is>
      </c>
      <c r="H156" s="5" t="inlineStr">
        <is>
          <t>Sistema (E2E con IA)</t>
        </is>
      </c>
      <c r="I156" s="5" t="inlineStr">
        <is>
          <t>Funcional</t>
        </is>
      </c>
      <c r="J156" s="5" t="inlineStr">
        <is>
          <t>Stagehand (Tomás)</t>
        </is>
      </c>
      <c r="K156" s="5" t="inlineStr">
        <is>
          <t>e2e/stagehand/src/scenarios/</t>
        </is>
      </c>
      <c r="L156" s="5" t="inlineStr">
        <is>
          <t>Ver escenario</t>
        </is>
      </c>
      <c r="M156" s="5" t="inlineStr">
        <is>
          <t>Reporte generado al completar el escenario</t>
        </is>
      </c>
      <c r="N156" s="8" t="inlineStr">
        <is>
          <t>Aprobado (reportado)</t>
        </is>
      </c>
      <c r="O156" s="5" t="inlineStr">
        <is>
          <t>2026-10-27</t>
        </is>
      </c>
      <c r="P156" s="5" t="inlineStr">
        <is>
          <t>e2e/stagehand/evidence/10-login-2fa-report.json</t>
        </is>
      </c>
      <c r="Q156" s="5" t="inlineStr">
        <is>
          <t>-</t>
        </is>
      </c>
    </row>
    <row r="157">
      <c r="A157" s="5" t="inlineStr">
        <is>
          <t>Tomás Henao</t>
        </is>
      </c>
      <c r="B157" s="5" t="inlineStr">
        <is>
          <t>Usuarios</t>
        </is>
      </c>
      <c r="C157" s="5" t="inlineStr">
        <is>
          <t>RF-13</t>
        </is>
      </c>
      <c r="D157" s="5" t="inlineStr">
        <is>
          <t>Validación 2FA durante la autenticación</t>
        </is>
      </c>
      <c r="E157" s="5" t="inlineStr">
        <is>
          <t>Vitest backend · unitaria</t>
        </is>
      </c>
      <c r="F157" s="5" t="inlineStr">
        <is>
          <t>VT-LoginUser.sin2FA.mock.test</t>
        </is>
      </c>
      <c r="G157" s="5" t="inlineStr">
        <is>
          <t>LoginUser.sin2FA.mock.test.ts (5 pruebas)</t>
        </is>
      </c>
      <c r="H157" s="5" t="inlineStr">
        <is>
          <t>Unitaria / Integración</t>
        </is>
      </c>
      <c r="I157" s="5" t="inlineStr">
        <is>
          <t>Funcional</t>
        </is>
      </c>
      <c r="J157" s="5" t="inlineStr">
        <is>
          <t>Vitest backend</t>
        </is>
      </c>
      <c r="K157" s="5" t="inlineStr">
        <is>
          <t>backend/src/tests/auth/mocks/LoginUser.sin2FA.mock.test.ts</t>
        </is>
      </c>
      <c r="L157" s="5" t="inlineStr">
        <is>
          <t>Todas las pruebas del archivo pasan</t>
        </is>
      </c>
      <c r="M157" s="5" t="inlineStr">
        <is>
          <t>5/5 pasan</t>
        </is>
      </c>
      <c r="N157" s="7" t="inlineStr">
        <is>
          <t>Aprobado</t>
        </is>
      </c>
      <c r="O157" s="5" t="inlineStr">
        <is>
          <t>2026-10-27</t>
        </is>
      </c>
      <c r="P157" s="5" t="inlineStr">
        <is>
          <t>docs/evidencia-final-equipo/vitest-backend.json</t>
        </is>
      </c>
      <c r="Q157" s="5" t="inlineStr">
        <is>
          <t>-</t>
        </is>
      </c>
    </row>
    <row r="158">
      <c r="A158" s="5" t="inlineStr">
        <is>
          <t>Tomás Henao</t>
        </is>
      </c>
      <c r="B158" s="5" t="inlineStr">
        <is>
          <t>Usuarios</t>
        </is>
      </c>
      <c r="C158" s="5" t="inlineStr">
        <is>
          <t>RF-13</t>
        </is>
      </c>
      <c r="D158" s="5" t="inlineStr">
        <is>
          <t>Validación 2FA durante la autenticación</t>
        </is>
      </c>
      <c r="E158" s="5" t="inlineStr">
        <is>
          <t>Vitest backend · unitaria</t>
        </is>
      </c>
      <c r="F158" s="5" t="inlineStr">
        <is>
          <t>VT-LoginUser.sin2FA.test</t>
        </is>
      </c>
      <c r="G158" s="5" t="inlineStr">
        <is>
          <t>LoginUser.sin2FA.test.ts (5 pruebas)</t>
        </is>
      </c>
      <c r="H158" s="5" t="inlineStr">
        <is>
          <t>Unitaria / Integración</t>
        </is>
      </c>
      <c r="I158" s="5" t="inlineStr">
        <is>
          <t>Funcional</t>
        </is>
      </c>
      <c r="J158" s="5" t="inlineStr">
        <is>
          <t>Vitest backend</t>
        </is>
      </c>
      <c r="K158" s="5" t="inlineStr">
        <is>
          <t>backend/src/tests/auth/LoginUser.sin2FA.test.ts</t>
        </is>
      </c>
      <c r="L158" s="5" t="inlineStr">
        <is>
          <t>Todas las pruebas del archivo pasan</t>
        </is>
      </c>
      <c r="M158" s="5" t="inlineStr">
        <is>
          <t>5/5 pasan</t>
        </is>
      </c>
      <c r="N158" s="7" t="inlineStr">
        <is>
          <t>Aprobado</t>
        </is>
      </c>
      <c r="O158" s="5" t="inlineStr">
        <is>
          <t>2026-10-27</t>
        </is>
      </c>
      <c r="P158" s="5" t="inlineStr">
        <is>
          <t>docs/evidencia-final-equipo/vitest-backend.json</t>
        </is>
      </c>
      <c r="Q158" s="5" t="inlineStr">
        <is>
          <t>-</t>
        </is>
      </c>
    </row>
    <row r="159">
      <c r="A159" s="5" t="inlineStr">
        <is>
          <t>Tomás Henao</t>
        </is>
      </c>
      <c r="B159" s="5" t="inlineStr">
        <is>
          <t>Usuarios</t>
        </is>
      </c>
      <c r="C159" s="5" t="inlineStr">
        <is>
          <t>RF-13</t>
        </is>
      </c>
      <c r="D159" s="5" t="inlineStr">
        <is>
          <t>Validación 2FA durante la autenticación</t>
        </is>
      </c>
      <c r="E159" s="5" t="inlineStr">
        <is>
          <t>Vitest backend · unitaria</t>
        </is>
      </c>
      <c r="F159" s="5" t="inlineStr">
        <is>
          <t>VT-TwoFactorAuth.integration.test</t>
        </is>
      </c>
      <c r="G159" s="5" t="inlineStr">
        <is>
          <t>TwoFactorAuth.integration.test.ts (11 pruebas)</t>
        </is>
      </c>
      <c r="H159" s="5" t="inlineStr">
        <is>
          <t>Unitaria / Integración</t>
        </is>
      </c>
      <c r="I159" s="5" t="inlineStr">
        <is>
          <t>Funcional</t>
        </is>
      </c>
      <c r="J159" s="5" t="inlineStr">
        <is>
          <t>Vitest backend</t>
        </is>
      </c>
      <c r="K159" s="5" t="inlineStr">
        <is>
          <t>backend/src/tests/integration/TwoFactorAuth.integration.test.ts</t>
        </is>
      </c>
      <c r="L159" s="5" t="inlineStr">
        <is>
          <t>Todas las pruebas del archivo pasan</t>
        </is>
      </c>
      <c r="M159" s="5" t="inlineStr">
        <is>
          <t>11/11 pasan</t>
        </is>
      </c>
      <c r="N159" s="7" t="inlineStr">
        <is>
          <t>Aprobado</t>
        </is>
      </c>
      <c r="O159" s="5" t="inlineStr">
        <is>
          <t>2026-10-27</t>
        </is>
      </c>
      <c r="P159" s="5" t="inlineStr">
        <is>
          <t>docs/evidencia-final-equipo/vitest-backend.json</t>
        </is>
      </c>
      <c r="Q159" s="5" t="inlineStr">
        <is>
          <t>-</t>
        </is>
      </c>
    </row>
    <row r="160">
      <c r="A160" s="5" t="inlineStr">
        <is>
          <t>Tomás Henao</t>
        </is>
      </c>
      <c r="B160" s="5" t="inlineStr">
        <is>
          <t>Usuarios</t>
        </is>
      </c>
      <c r="C160" s="5" t="inlineStr">
        <is>
          <t>RF-13</t>
        </is>
      </c>
      <c r="D160" s="5" t="inlineStr">
        <is>
          <t>Validación 2FA durante la autenticación</t>
        </is>
      </c>
      <c r="E160" s="5" t="inlineStr">
        <is>
          <t>Vitest backend · unitaria</t>
        </is>
      </c>
      <c r="F160" s="5" t="inlineStr">
        <is>
          <t>VT-TwoFactorController.test</t>
        </is>
      </c>
      <c r="G160" s="5" t="inlineStr">
        <is>
          <t>TwoFactorController.test.ts (7 pruebas)</t>
        </is>
      </c>
      <c r="H160" s="5" t="inlineStr">
        <is>
          <t>Unitaria / Integración</t>
        </is>
      </c>
      <c r="I160" s="5" t="inlineStr">
        <is>
          <t>Funcional</t>
        </is>
      </c>
      <c r="J160" s="5" t="inlineStr">
        <is>
          <t>Vitest backend</t>
        </is>
      </c>
      <c r="K160" s="5" t="inlineStr">
        <is>
          <t>backend/src/tests/unit/auth/TwoFactorController.test.ts</t>
        </is>
      </c>
      <c r="L160" s="5" t="inlineStr">
        <is>
          <t>Todas las pruebas del archivo pasan</t>
        </is>
      </c>
      <c r="M160" s="5" t="inlineStr">
        <is>
          <t>7/7 pasan</t>
        </is>
      </c>
      <c r="N160" s="7" t="inlineStr">
        <is>
          <t>Aprobado</t>
        </is>
      </c>
      <c r="O160" s="5" t="inlineStr">
        <is>
          <t>2026-10-27</t>
        </is>
      </c>
      <c r="P160" s="5" t="inlineStr">
        <is>
          <t>docs/evidencia-final-equipo/vitest-backend.json</t>
        </is>
      </c>
      <c r="Q160" s="5" t="inlineStr">
        <is>
          <t>-</t>
        </is>
      </c>
    </row>
    <row r="161">
      <c r="A161" s="5" t="inlineStr">
        <is>
          <t>Tomás Henao</t>
        </is>
      </c>
      <c r="B161" s="5" t="inlineStr">
        <is>
          <t>Usuarios</t>
        </is>
      </c>
      <c r="C161" s="5" t="inlineStr">
        <is>
          <t>RF-13</t>
        </is>
      </c>
      <c r="D161" s="5" t="inlineStr">
        <is>
          <t>Validación 2FA durante la autenticación</t>
        </is>
      </c>
      <c r="E161" s="5" t="inlineStr">
        <is>
          <t>Vitest backend · unitaria</t>
        </is>
      </c>
      <c r="F161" s="5" t="inlineStr">
        <is>
          <t>VT-VerifyTwoFactorCode.mock.test</t>
        </is>
      </c>
      <c r="G161" s="5" t="inlineStr">
        <is>
          <t>VerifyTwoFactorCode.mock.test.ts (10 pruebas)</t>
        </is>
      </c>
      <c r="H161" s="5" t="inlineStr">
        <is>
          <t>Unitaria / Integración</t>
        </is>
      </c>
      <c r="I161" s="5" t="inlineStr">
        <is>
          <t>Funcional</t>
        </is>
      </c>
      <c r="J161" s="5" t="inlineStr">
        <is>
          <t>Vitest backend</t>
        </is>
      </c>
      <c r="K161" s="5" t="inlineStr">
        <is>
          <t>backend/src/tests/auth/mocks/VerifyTwoFactorCode.mock.test.ts</t>
        </is>
      </c>
      <c r="L161" s="5" t="inlineStr">
        <is>
          <t>Todas las pruebas del archivo pasan</t>
        </is>
      </c>
      <c r="M161" s="5" t="inlineStr">
        <is>
          <t>10/10 pasan</t>
        </is>
      </c>
      <c r="N161" s="7" t="inlineStr">
        <is>
          <t>Aprobado</t>
        </is>
      </c>
      <c r="O161" s="5" t="inlineStr">
        <is>
          <t>2026-10-27</t>
        </is>
      </c>
      <c r="P161" s="5" t="inlineStr">
        <is>
          <t>docs/evidencia-final-equipo/vitest-backend.json</t>
        </is>
      </c>
      <c r="Q161" s="5" t="inlineStr">
        <is>
          <t>-</t>
        </is>
      </c>
    </row>
    <row r="162">
      <c r="A162" s="5" t="inlineStr">
        <is>
          <t>Tomás Henao</t>
        </is>
      </c>
      <c r="B162" s="5" t="inlineStr">
        <is>
          <t>Usuarios</t>
        </is>
      </c>
      <c r="C162" s="5" t="inlineStr">
        <is>
          <t>RF-13</t>
        </is>
      </c>
      <c r="D162" s="5" t="inlineStr">
        <is>
          <t>Validación 2FA durante la autenticación</t>
        </is>
      </c>
      <c r="E162" s="5" t="inlineStr">
        <is>
          <t>Vitest backend · unitaria</t>
        </is>
      </c>
      <c r="F162" s="5" t="inlineStr">
        <is>
          <t>VT-VerifyTwoFactorCode.test</t>
        </is>
      </c>
      <c r="G162" s="5" t="inlineStr">
        <is>
          <t>VerifyTwoFactorCode.test.ts (10 pruebas)</t>
        </is>
      </c>
      <c r="H162" s="5" t="inlineStr">
        <is>
          <t>Unitaria / Integración</t>
        </is>
      </c>
      <c r="I162" s="5" t="inlineStr">
        <is>
          <t>Funcional</t>
        </is>
      </c>
      <c r="J162" s="5" t="inlineStr">
        <is>
          <t>Vitest backend</t>
        </is>
      </c>
      <c r="K162" s="5" t="inlineStr">
        <is>
          <t>backend/src/tests/auth/VerifyTwoFactorCode.test.ts</t>
        </is>
      </c>
      <c r="L162" s="5" t="inlineStr">
        <is>
          <t>Todas las pruebas del archivo pasan</t>
        </is>
      </c>
      <c r="M162" s="5" t="inlineStr">
        <is>
          <t>10/10 pasan</t>
        </is>
      </c>
      <c r="N162" s="7" t="inlineStr">
        <is>
          <t>Aprobado</t>
        </is>
      </c>
      <c r="O162" s="5" t="inlineStr">
        <is>
          <t>2026-10-27</t>
        </is>
      </c>
      <c r="P162" s="5" t="inlineStr">
        <is>
          <t>docs/evidencia-final-equipo/vitest-backend.json</t>
        </is>
      </c>
      <c r="Q162" s="5" t="inlineStr">
        <is>
          <t>-</t>
        </is>
      </c>
    </row>
    <row r="163">
      <c r="A163" s="5" t="inlineStr">
        <is>
          <t>Tomás Henao</t>
        </is>
      </c>
      <c r="B163" s="5" t="inlineStr">
        <is>
          <t>Usuarios</t>
        </is>
      </c>
      <c r="C163" s="5" t="inlineStr">
        <is>
          <t>RF-13</t>
        </is>
      </c>
      <c r="D163" s="5" t="inlineStr">
        <is>
          <t>Validación 2FA durante la autenticación</t>
        </is>
      </c>
      <c r="E163" s="5" t="inlineStr">
        <is>
          <t>Vitest backend · unitaria</t>
        </is>
      </c>
      <c r="F163" s="5" t="inlineStr">
        <is>
          <t>VT-twoFactorManagement.test</t>
        </is>
      </c>
      <c r="G163" s="5" t="inlineStr">
        <is>
          <t>twoFactorManagement.test.ts (11 pruebas)</t>
        </is>
      </c>
      <c r="H163" s="5" t="inlineStr">
        <is>
          <t>Unitaria / Integración</t>
        </is>
      </c>
      <c r="I163" s="5" t="inlineStr">
        <is>
          <t>Funcional</t>
        </is>
      </c>
      <c r="J163" s="5" t="inlineStr">
        <is>
          <t>Vitest backend</t>
        </is>
      </c>
      <c r="K163" s="5" t="inlineStr">
        <is>
          <t>backend/src/tests/unit/auth/twoFactorManagement.test.ts</t>
        </is>
      </c>
      <c r="L163" s="5" t="inlineStr">
        <is>
          <t>Todas las pruebas del archivo pasan</t>
        </is>
      </c>
      <c r="M163" s="5" t="inlineStr">
        <is>
          <t>11/11 pasan</t>
        </is>
      </c>
      <c r="N163" s="7" t="inlineStr">
        <is>
          <t>Aprobado</t>
        </is>
      </c>
      <c r="O163" s="5" t="inlineStr">
        <is>
          <t>2026-10-27</t>
        </is>
      </c>
      <c r="P163" s="5" t="inlineStr">
        <is>
          <t>docs/evidencia-final-equipo/vitest-backend.json</t>
        </is>
      </c>
      <c r="Q163" s="5" t="inlineStr">
        <is>
          <t>-</t>
        </is>
      </c>
    </row>
    <row r="164">
      <c r="A164" s="5" t="inlineStr">
        <is>
          <t>Tomás Henao</t>
        </is>
      </c>
      <c r="B164" s="5" t="inlineStr">
        <is>
          <t>Usuarios</t>
        </is>
      </c>
      <c r="C164" s="5" t="inlineStr">
        <is>
          <t>RF-13</t>
        </is>
      </c>
      <c r="D164" s="5" t="inlineStr">
        <is>
          <t>Validación 2FA durante la autenticación</t>
        </is>
      </c>
      <c r="E164" s="5" t="inlineStr">
        <is>
          <t>Vitest frontend · unitaria</t>
        </is>
      </c>
      <c r="F164" s="5" t="inlineStr">
        <is>
          <t>VT-TwoFactorVerifyForm.test</t>
        </is>
      </c>
      <c r="G164" s="5" t="inlineStr">
        <is>
          <t>TwoFactorVerifyForm.test.tsx (10 pruebas)</t>
        </is>
      </c>
      <c r="H164" s="5" t="inlineStr">
        <is>
          <t>Unitaria / Integración</t>
        </is>
      </c>
      <c r="I164" s="5" t="inlineStr">
        <is>
          <t>Funcional</t>
        </is>
      </c>
      <c r="J164" s="5" t="inlineStr">
        <is>
          <t>Vitest frontend</t>
        </is>
      </c>
      <c r="K164" s="5" t="inlineStr">
        <is>
          <t>frontend/src/tests/unit/auth/TwoFactorVerifyForm.test.tsx</t>
        </is>
      </c>
      <c r="L164" s="5" t="inlineStr">
        <is>
          <t>Todas las pruebas del archivo pasan</t>
        </is>
      </c>
      <c r="M164" s="5" t="inlineStr">
        <is>
          <t>10/10 pasan</t>
        </is>
      </c>
      <c r="N164" s="7" t="inlineStr">
        <is>
          <t>Aprobado</t>
        </is>
      </c>
      <c r="O164" s="5" t="inlineStr">
        <is>
          <t>2026-10-27</t>
        </is>
      </c>
      <c r="P164" s="5" t="inlineStr">
        <is>
          <t>docs/evidencia-final-equipo/vitest-frontend.json</t>
        </is>
      </c>
      <c r="Q164" s="5" t="inlineStr">
        <is>
          <t>-</t>
        </is>
      </c>
    </row>
    <row r="165">
      <c r="A165" s="5" t="inlineStr">
        <is>
          <t>Tomás Henao</t>
        </is>
      </c>
      <c r="B165" s="5" t="inlineStr">
        <is>
          <t>Usuarios</t>
        </is>
      </c>
      <c r="C165" s="5" t="inlineStr">
        <is>
          <t>RF-13</t>
        </is>
      </c>
      <c r="D165" s="5" t="inlineStr">
        <is>
          <t>Validación 2FA durante la autenticación</t>
        </is>
      </c>
      <c r="E165" s="5" t="inlineStr">
        <is>
          <t>Vitest frontend · unitaria</t>
        </is>
      </c>
      <c r="F165" s="5" t="inlineStr">
        <is>
          <t>VT-TwoFactorVerifyForm.test</t>
        </is>
      </c>
      <c r="G165" s="5" t="inlineStr">
        <is>
          <t>TwoFactorVerifyForm.test.tsx (10 pruebas)</t>
        </is>
      </c>
      <c r="H165" s="5" t="inlineStr">
        <is>
          <t>Unitaria / Integración</t>
        </is>
      </c>
      <c r="I165" s="5" t="inlineStr">
        <is>
          <t>Funcional</t>
        </is>
      </c>
      <c r="J165" s="5" t="inlineStr">
        <is>
          <t>Vitest frontend</t>
        </is>
      </c>
      <c r="K165" s="5" t="inlineStr">
        <is>
          <t>frontend/src/tests/unit/components/TwoFactorVerifyForm.test.tsx</t>
        </is>
      </c>
      <c r="L165" s="5" t="inlineStr">
        <is>
          <t>Todas las pruebas del archivo pasan</t>
        </is>
      </c>
      <c r="M165" s="5" t="inlineStr">
        <is>
          <t>10/10 pasan</t>
        </is>
      </c>
      <c r="N165" s="7" t="inlineStr">
        <is>
          <t>Aprobado</t>
        </is>
      </c>
      <c r="O165" s="5" t="inlineStr">
        <is>
          <t>2026-10-27</t>
        </is>
      </c>
      <c r="P165" s="5" t="inlineStr">
        <is>
          <t>docs/evidencia-final-equipo/vitest-frontend.json</t>
        </is>
      </c>
      <c r="Q165" s="5" t="inlineStr">
        <is>
          <t>-</t>
        </is>
      </c>
    </row>
    <row r="166">
      <c r="A166" s="5" t="inlineStr">
        <is>
          <t>Tomás Henao</t>
        </is>
      </c>
      <c r="B166" s="5" t="inlineStr">
        <is>
          <t>Usuarios</t>
        </is>
      </c>
      <c r="C166" s="5" t="inlineStr">
        <is>
          <t>RF-13</t>
        </is>
      </c>
      <c r="D166" s="5" t="inlineStr">
        <is>
          <t>Validación 2FA durante la autenticación</t>
        </is>
      </c>
      <c r="E166" s="5" t="inlineStr">
        <is>
          <t>Vitest frontend · unitaria</t>
        </is>
      </c>
      <c r="F166" s="5" t="inlineStr">
        <is>
          <t>VT-useTwoFactor.test</t>
        </is>
      </c>
      <c r="G166" s="5" t="inlineStr">
        <is>
          <t>useTwoFactor.test.ts (6 pruebas)</t>
        </is>
      </c>
      <c r="H166" s="5" t="inlineStr">
        <is>
          <t>Unitaria / Integración</t>
        </is>
      </c>
      <c r="I166" s="5" t="inlineStr">
        <is>
          <t>Funcional</t>
        </is>
      </c>
      <c r="J166" s="5" t="inlineStr">
        <is>
          <t>Vitest frontend</t>
        </is>
      </c>
      <c r="K166" s="5" t="inlineStr">
        <is>
          <t>frontend/src/tests/unit/auth/useTwoFactor.test.ts</t>
        </is>
      </c>
      <c r="L166" s="5" t="inlineStr">
        <is>
          <t>Todas las pruebas del archivo pasan</t>
        </is>
      </c>
      <c r="M166" s="5" t="inlineStr">
        <is>
          <t>6/6 pasan</t>
        </is>
      </c>
      <c r="N166" s="7" t="inlineStr">
        <is>
          <t>Aprobado</t>
        </is>
      </c>
      <c r="O166" s="5" t="inlineStr">
        <is>
          <t>2026-10-27</t>
        </is>
      </c>
      <c r="P166" s="5" t="inlineStr">
        <is>
          <t>docs/evidencia-final-equipo/vitest-frontend.json</t>
        </is>
      </c>
      <c r="Q166" s="5" t="inlineStr">
        <is>
          <t>-</t>
        </is>
      </c>
    </row>
    <row r="167">
      <c r="A167" s="5" t="inlineStr">
        <is>
          <t>Tomás Henao</t>
        </is>
      </c>
      <c r="B167" s="5" t="inlineStr">
        <is>
          <t>Usuarios</t>
        </is>
      </c>
      <c r="C167" s="5" t="inlineStr">
        <is>
          <t>RF-13</t>
        </is>
      </c>
      <c r="D167" s="5" t="inlineStr">
        <is>
          <t>Validación 2FA durante la autenticación</t>
        </is>
      </c>
      <c r="E167" s="5" t="inlineStr">
        <is>
          <t>Vitest frontend · unitaria</t>
        </is>
      </c>
      <c r="F167" s="5" t="inlineStr">
        <is>
          <t>VT-useTwoFactor.test</t>
        </is>
      </c>
      <c r="G167" s="5" t="inlineStr">
        <is>
          <t>useTwoFactor.test.ts (6 pruebas)</t>
        </is>
      </c>
      <c r="H167" s="5" t="inlineStr">
        <is>
          <t>Unitaria / Integración</t>
        </is>
      </c>
      <c r="I167" s="5" t="inlineStr">
        <is>
          <t>Funcional</t>
        </is>
      </c>
      <c r="J167" s="5" t="inlineStr">
        <is>
          <t>Vitest frontend</t>
        </is>
      </c>
      <c r="K167" s="5" t="inlineStr">
        <is>
          <t>frontend/src/tests/unit/hooks/useTwoFactor.test.ts</t>
        </is>
      </c>
      <c r="L167" s="5" t="inlineStr">
        <is>
          <t>Todas las pruebas del archivo pasan</t>
        </is>
      </c>
      <c r="M167" s="5" t="inlineStr">
        <is>
          <t>6/6 pasan</t>
        </is>
      </c>
      <c r="N167" s="7" t="inlineStr">
        <is>
          <t>Aprobado</t>
        </is>
      </c>
      <c r="O167" s="5" t="inlineStr">
        <is>
          <t>2026-10-27</t>
        </is>
      </c>
      <c r="P167" s="5" t="inlineStr">
        <is>
          <t>docs/evidencia-final-equipo/vitest-frontend.json</t>
        </is>
      </c>
      <c r="Q167" s="5" t="inlineStr">
        <is>
          <t>-</t>
        </is>
      </c>
    </row>
    <row r="168">
      <c r="A168" s="5" t="inlineStr">
        <is>
          <t>Tomás Henao</t>
        </is>
      </c>
      <c r="B168" s="5" t="inlineStr">
        <is>
          <t>Usuarios</t>
        </is>
      </c>
      <c r="C168" s="5" t="inlineStr">
        <is>
          <t>RF-16</t>
        </is>
      </c>
      <c r="D168" s="5" t="inlineStr">
        <is>
          <t>Actualización del perfil</t>
        </is>
      </c>
      <c r="E168" s="5" t="inlineStr">
        <is>
          <t>ESC068</t>
        </is>
      </c>
      <c r="F168" s="5" t="inlineStr">
        <is>
          <t>TC243</t>
        </is>
      </c>
      <c r="G168" s="5" t="inlineStr">
        <is>
          <t>Actualización del primer nombre</t>
        </is>
      </c>
      <c r="H168" s="5" t="inlineStr">
        <is>
          <t>Sistema</t>
        </is>
      </c>
      <c r="I168" s="5" t="inlineStr">
        <is>
          <t>Funcional</t>
        </is>
      </c>
      <c r="J168" s="5" t="inlineStr">
        <is>
          <t>Casos del Excel (diseño + ejecución manual)</t>
        </is>
      </c>
      <c r="K168" s="5" t="inlineStr">
        <is>
          <t>Casos y Escenarios FuBank.xlsx</t>
        </is>
      </c>
      <c r="L168" s="5" t="inlineStr">
        <is>
          <t>Usuario modifica su primer nombre ingresando un valor válido.</t>
        </is>
      </c>
      <c r="M168" s="5" t="inlineStr">
        <is>
          <t>Sin resultado en el Excel</t>
        </is>
      </c>
      <c r="N168" s="6" t="inlineStr">
        <is>
          <t>Sin resultado registrado</t>
        </is>
      </c>
      <c r="O168" s="5" t="inlineStr">
        <is>
          <t>-</t>
        </is>
      </c>
      <c r="P168" s="5" t="inlineStr">
        <is>
          <t>Excel (hoja Casos de Prueba Detallado)</t>
        </is>
      </c>
      <c r="Q168" s="5" t="inlineStr">
        <is>
          <t>N/A</t>
        </is>
      </c>
    </row>
    <row r="169">
      <c r="A169" s="5" t="inlineStr">
        <is>
          <t>Tomás Henao</t>
        </is>
      </c>
      <c r="B169" s="5" t="inlineStr">
        <is>
          <t>Usuarios</t>
        </is>
      </c>
      <c r="C169" s="5" t="inlineStr">
        <is>
          <t>RF-16</t>
        </is>
      </c>
      <c r="D169" s="5" t="inlineStr">
        <is>
          <t>Actualización del perfil</t>
        </is>
      </c>
      <c r="E169" s="5" t="inlineStr">
        <is>
          <t>ESC068</t>
        </is>
      </c>
      <c r="F169" s="5" t="inlineStr">
        <is>
          <t>TC244</t>
        </is>
      </c>
      <c r="G169" s="5" t="inlineStr">
        <is>
          <t>Actualización del segundo nombre</t>
        </is>
      </c>
      <c r="H169" s="5" t="inlineStr">
        <is>
          <t>Sistema</t>
        </is>
      </c>
      <c r="I169" s="5" t="inlineStr">
        <is>
          <t>Funcional</t>
        </is>
      </c>
      <c r="J169" s="5" t="inlineStr">
        <is>
          <t>Casos del Excel (diseño + ejecución manual)</t>
        </is>
      </c>
      <c r="K169" s="5" t="inlineStr">
        <is>
          <t>Casos y Escenarios FuBank.xlsx</t>
        </is>
      </c>
      <c r="L169" s="5" t="inlineStr">
        <is>
          <t>Usuario modifica su segundo nombre ingresando un valor válido.</t>
        </is>
      </c>
      <c r="M169" s="5" t="inlineStr">
        <is>
          <t>Sin resultado en el Excel</t>
        </is>
      </c>
      <c r="N169" s="6" t="inlineStr">
        <is>
          <t>Sin resultado registrado</t>
        </is>
      </c>
      <c r="O169" s="5" t="inlineStr">
        <is>
          <t>-</t>
        </is>
      </c>
      <c r="P169" s="5" t="inlineStr">
        <is>
          <t>Excel (hoja Casos de Prueba Detallado)</t>
        </is>
      </c>
      <c r="Q169" s="5" t="inlineStr">
        <is>
          <t>N/A</t>
        </is>
      </c>
    </row>
    <row r="170">
      <c r="A170" s="5" t="inlineStr">
        <is>
          <t>Tomás Henao</t>
        </is>
      </c>
      <c r="B170" s="5" t="inlineStr">
        <is>
          <t>Usuarios</t>
        </is>
      </c>
      <c r="C170" s="5" t="inlineStr">
        <is>
          <t>RF-16</t>
        </is>
      </c>
      <c r="D170" s="5" t="inlineStr">
        <is>
          <t>Actualización del perfil</t>
        </is>
      </c>
      <c r="E170" s="5" t="inlineStr">
        <is>
          <t>ESC068</t>
        </is>
      </c>
      <c r="F170" s="5" t="inlineStr">
        <is>
          <t>TC245</t>
        </is>
      </c>
      <c r="G170" s="5" t="inlineStr">
        <is>
          <t>Actualización del primer apellido</t>
        </is>
      </c>
      <c r="H170" s="5" t="inlineStr">
        <is>
          <t>Sistema</t>
        </is>
      </c>
      <c r="I170" s="5" t="inlineStr">
        <is>
          <t>Funcional</t>
        </is>
      </c>
      <c r="J170" s="5" t="inlineStr">
        <is>
          <t>Casos del Excel (diseño + ejecución manual)</t>
        </is>
      </c>
      <c r="K170" s="5" t="inlineStr">
        <is>
          <t>Casos y Escenarios FuBank.xlsx</t>
        </is>
      </c>
      <c r="L170" s="5" t="inlineStr">
        <is>
          <t>Usuario modifica su primer apellido ingresando un valor válido.</t>
        </is>
      </c>
      <c r="M170" s="5" t="inlineStr">
        <is>
          <t>Sin resultado en el Excel</t>
        </is>
      </c>
      <c r="N170" s="6" t="inlineStr">
        <is>
          <t>Sin resultado registrado</t>
        </is>
      </c>
      <c r="O170" s="5" t="inlineStr">
        <is>
          <t>-</t>
        </is>
      </c>
      <c r="P170" s="5" t="inlineStr">
        <is>
          <t>Excel (hoja Casos de Prueba Detallado)</t>
        </is>
      </c>
      <c r="Q170" s="5" t="inlineStr">
        <is>
          <t>N/A</t>
        </is>
      </c>
    </row>
    <row r="171">
      <c r="A171" s="5" t="inlineStr">
        <is>
          <t>Tomás Henao</t>
        </is>
      </c>
      <c r="B171" s="5" t="inlineStr">
        <is>
          <t>Usuarios</t>
        </is>
      </c>
      <c r="C171" s="5" t="inlineStr">
        <is>
          <t>RF-16</t>
        </is>
      </c>
      <c r="D171" s="5" t="inlineStr">
        <is>
          <t>Actualización del perfil</t>
        </is>
      </c>
      <c r="E171" s="5" t="inlineStr">
        <is>
          <t>ESC068</t>
        </is>
      </c>
      <c r="F171" s="5" t="inlineStr">
        <is>
          <t>TC246</t>
        </is>
      </c>
      <c r="G171" s="5" t="inlineStr">
        <is>
          <t>Actualización del segundo apellido</t>
        </is>
      </c>
      <c r="H171" s="5" t="inlineStr">
        <is>
          <t>Sistema</t>
        </is>
      </c>
      <c r="I171" s="5" t="inlineStr">
        <is>
          <t>Funcional</t>
        </is>
      </c>
      <c r="J171" s="5" t="inlineStr">
        <is>
          <t>Casos del Excel (diseño + ejecución manual)</t>
        </is>
      </c>
      <c r="K171" s="5" t="inlineStr">
        <is>
          <t>Casos y Escenarios FuBank.xlsx</t>
        </is>
      </c>
      <c r="L171" s="5" t="inlineStr">
        <is>
          <t>Usuario modifica su segundo apellido ingresando un valor válido.</t>
        </is>
      </c>
      <c r="M171" s="5" t="inlineStr">
        <is>
          <t>Sin resultado en el Excel</t>
        </is>
      </c>
      <c r="N171" s="6" t="inlineStr">
        <is>
          <t>Sin resultado registrado</t>
        </is>
      </c>
      <c r="O171" s="5" t="inlineStr">
        <is>
          <t>-</t>
        </is>
      </c>
      <c r="P171" s="5" t="inlineStr">
        <is>
          <t>Excel (hoja Casos de Prueba Detallado)</t>
        </is>
      </c>
      <c r="Q171" s="5" t="inlineStr">
        <is>
          <t>N/A</t>
        </is>
      </c>
    </row>
    <row r="172">
      <c r="A172" s="5" t="inlineStr">
        <is>
          <t>Tomás Henao</t>
        </is>
      </c>
      <c r="B172" s="5" t="inlineStr">
        <is>
          <t>Usuarios</t>
        </is>
      </c>
      <c r="C172" s="5" t="inlineStr">
        <is>
          <t>RF-16</t>
        </is>
      </c>
      <c r="D172" s="5" t="inlineStr">
        <is>
          <t>Actualización del perfil</t>
        </is>
      </c>
      <c r="E172" s="5" t="inlineStr">
        <is>
          <t>ESC068</t>
        </is>
      </c>
      <c r="F172" s="5" t="inlineStr">
        <is>
          <t>TC247</t>
        </is>
      </c>
      <c r="G172" s="5" t="inlineStr">
        <is>
          <t>Actualización de fecha de nacimiento</t>
        </is>
      </c>
      <c r="H172" s="5" t="inlineStr">
        <is>
          <t>Sistema</t>
        </is>
      </c>
      <c r="I172" s="5" t="inlineStr">
        <is>
          <t>Funcional</t>
        </is>
      </c>
      <c r="J172" s="5" t="inlineStr">
        <is>
          <t>Casos del Excel (diseño + ejecución manual)</t>
        </is>
      </c>
      <c r="K172" s="5" t="inlineStr">
        <is>
          <t>Casos y Escenarios FuBank.xlsx</t>
        </is>
      </c>
      <c r="L172" s="5" t="inlineStr">
        <is>
          <t>Usuario modifica su fecha de nacimiento utilizando una fecha válida.</t>
        </is>
      </c>
      <c r="M172" s="5" t="inlineStr">
        <is>
          <t>Sin resultado en el Excel</t>
        </is>
      </c>
      <c r="N172" s="6" t="inlineStr">
        <is>
          <t>Sin resultado registrado</t>
        </is>
      </c>
      <c r="O172" s="5" t="inlineStr">
        <is>
          <t>-</t>
        </is>
      </c>
      <c r="P172" s="5" t="inlineStr">
        <is>
          <t>Excel (hoja Casos de Prueba Detallado)</t>
        </is>
      </c>
      <c r="Q172" s="5" t="inlineStr">
        <is>
          <t>N/A</t>
        </is>
      </c>
    </row>
    <row r="173">
      <c r="A173" s="5" t="inlineStr">
        <is>
          <t>Tomás Henao</t>
        </is>
      </c>
      <c r="B173" s="5" t="inlineStr">
        <is>
          <t>Usuarios</t>
        </is>
      </c>
      <c r="C173" s="5" t="inlineStr">
        <is>
          <t>RF-16</t>
        </is>
      </c>
      <c r="D173" s="5" t="inlineStr">
        <is>
          <t>Actualización del perfil</t>
        </is>
      </c>
      <c r="E173" s="5" t="inlineStr">
        <is>
          <t>ESC068</t>
        </is>
      </c>
      <c r="F173" s="5" t="inlineStr">
        <is>
          <t>TC248</t>
        </is>
      </c>
      <c r="G173" s="5" t="inlineStr">
        <is>
          <t>Actualización del teléfono</t>
        </is>
      </c>
      <c r="H173" s="5" t="inlineStr">
        <is>
          <t>Sistema</t>
        </is>
      </c>
      <c r="I173" s="5" t="inlineStr">
        <is>
          <t>Funcional</t>
        </is>
      </c>
      <c r="J173" s="5" t="inlineStr">
        <is>
          <t>Casos del Excel (diseño + ejecución manual)</t>
        </is>
      </c>
      <c r="K173" s="5" t="inlineStr">
        <is>
          <t>Casos y Escenarios FuBank.xlsx</t>
        </is>
      </c>
      <c r="L173" s="5" t="inlineStr">
        <is>
          <t>Usuario modifica su número telefónico utilizando un valor válido.</t>
        </is>
      </c>
      <c r="M173" s="5" t="inlineStr">
        <is>
          <t>Sin resultado en el Excel</t>
        </is>
      </c>
      <c r="N173" s="6" t="inlineStr">
        <is>
          <t>Sin resultado registrado</t>
        </is>
      </c>
      <c r="O173" s="5" t="inlineStr">
        <is>
          <t>-</t>
        </is>
      </c>
      <c r="P173" s="5" t="inlineStr">
        <is>
          <t>Excel (hoja Casos de Prueba Detallado)</t>
        </is>
      </c>
      <c r="Q173" s="5" t="inlineStr">
        <is>
          <t>N/A</t>
        </is>
      </c>
    </row>
    <row r="174">
      <c r="A174" s="5" t="inlineStr">
        <is>
          <t>Tomás Henao</t>
        </is>
      </c>
      <c r="B174" s="5" t="inlineStr">
        <is>
          <t>Usuarios</t>
        </is>
      </c>
      <c r="C174" s="5" t="inlineStr">
        <is>
          <t>RF-16</t>
        </is>
      </c>
      <c r="D174" s="5" t="inlineStr">
        <is>
          <t>Actualización del perfil</t>
        </is>
      </c>
      <c r="E174" s="5" t="inlineStr">
        <is>
          <t>ESC069</t>
        </is>
      </c>
      <c r="F174" s="5" t="inlineStr">
        <is>
          <t>TC249</t>
        </is>
      </c>
      <c r="G174" s="5" t="inlineStr">
        <is>
          <t>Primer nombre vacío</t>
        </is>
      </c>
      <c r="H174" s="5" t="inlineStr">
        <is>
          <t>Sistema</t>
        </is>
      </c>
      <c r="I174" s="5" t="inlineStr">
        <is>
          <t>Funcional</t>
        </is>
      </c>
      <c r="J174" s="5" t="inlineStr">
        <is>
          <t>Casos del Excel (diseño + ejecución manual)</t>
        </is>
      </c>
      <c r="K174" s="5" t="inlineStr">
        <is>
          <t>Casos y Escenarios FuBank.xlsx</t>
        </is>
      </c>
      <c r="L174" s="5" t="inlineStr">
        <is>
          <t>Usuario elimina el contenido del primer nombre e intenta guardar los cambios.</t>
        </is>
      </c>
      <c r="M174" s="5" t="inlineStr">
        <is>
          <t>Sin resultado en el Excel</t>
        </is>
      </c>
      <c r="N174" s="6" t="inlineStr">
        <is>
          <t>Sin resultado registrado</t>
        </is>
      </c>
      <c r="O174" s="5" t="inlineStr">
        <is>
          <t>-</t>
        </is>
      </c>
      <c r="P174" s="5" t="inlineStr">
        <is>
          <t>Excel (hoja Casos de Prueba Detallado)</t>
        </is>
      </c>
      <c r="Q174" s="5" t="inlineStr">
        <is>
          <t>N/A</t>
        </is>
      </c>
    </row>
    <row r="175">
      <c r="A175" s="5" t="inlineStr">
        <is>
          <t>Tomás Henao</t>
        </is>
      </c>
      <c r="B175" s="5" t="inlineStr">
        <is>
          <t>Usuarios</t>
        </is>
      </c>
      <c r="C175" s="5" t="inlineStr">
        <is>
          <t>RF-16</t>
        </is>
      </c>
      <c r="D175" s="5" t="inlineStr">
        <is>
          <t>Actualización del perfil</t>
        </is>
      </c>
      <c r="E175" s="5" t="inlineStr">
        <is>
          <t>ESC069</t>
        </is>
      </c>
      <c r="F175" s="5" t="inlineStr">
        <is>
          <t>TC250</t>
        </is>
      </c>
      <c r="G175" s="5" t="inlineStr">
        <is>
          <t>Primer apellido vacío</t>
        </is>
      </c>
      <c r="H175" s="5" t="inlineStr">
        <is>
          <t>Sistema</t>
        </is>
      </c>
      <c r="I175" s="5" t="inlineStr">
        <is>
          <t>Funcional</t>
        </is>
      </c>
      <c r="J175" s="5" t="inlineStr">
        <is>
          <t>Casos del Excel (diseño + ejecución manual)</t>
        </is>
      </c>
      <c r="K175" s="5" t="inlineStr">
        <is>
          <t>Casos y Escenarios FuBank.xlsx</t>
        </is>
      </c>
      <c r="L175" s="5" t="inlineStr">
        <is>
          <t>Usuario elimina el contenido del primer apellido e intenta guardar los cambios.</t>
        </is>
      </c>
      <c r="M175" s="5" t="inlineStr">
        <is>
          <t>Sin resultado en el Excel</t>
        </is>
      </c>
      <c r="N175" s="6" t="inlineStr">
        <is>
          <t>Sin resultado registrado</t>
        </is>
      </c>
      <c r="O175" s="5" t="inlineStr">
        <is>
          <t>-</t>
        </is>
      </c>
      <c r="P175" s="5" t="inlineStr">
        <is>
          <t>Excel (hoja Casos de Prueba Detallado)</t>
        </is>
      </c>
      <c r="Q175" s="5" t="inlineStr">
        <is>
          <t>N/A</t>
        </is>
      </c>
    </row>
    <row r="176">
      <c r="A176" s="5" t="inlineStr">
        <is>
          <t>Tomás Henao</t>
        </is>
      </c>
      <c r="B176" s="5" t="inlineStr">
        <is>
          <t>Usuarios</t>
        </is>
      </c>
      <c r="C176" s="5" t="inlineStr">
        <is>
          <t>RF-16</t>
        </is>
      </c>
      <c r="D176" s="5" t="inlineStr">
        <is>
          <t>Actualización del perfil</t>
        </is>
      </c>
      <c r="E176" s="5" t="inlineStr">
        <is>
          <t>ESC069</t>
        </is>
      </c>
      <c r="F176" s="5" t="inlineStr">
        <is>
          <t>TC251</t>
        </is>
      </c>
      <c r="G176" s="5" t="inlineStr">
        <is>
          <t>Fecha de nacimiento inválida</t>
        </is>
      </c>
      <c r="H176" s="5" t="inlineStr">
        <is>
          <t>Sistema</t>
        </is>
      </c>
      <c r="I176" s="5" t="inlineStr">
        <is>
          <t>Funcional</t>
        </is>
      </c>
      <c r="J176" s="5" t="inlineStr">
        <is>
          <t>Casos del Excel (diseño + ejecución manual)</t>
        </is>
      </c>
      <c r="K176" s="5" t="inlineStr">
        <is>
          <t>Casos y Escenarios FuBank.xlsx</t>
        </is>
      </c>
      <c r="L176" s="5" t="inlineStr">
        <is>
          <t>Usuario ingresa una fecha que no cumple con el formato o las reglas establecidas.</t>
        </is>
      </c>
      <c r="M176" s="5" t="inlineStr">
        <is>
          <t>Sin resultado en el Excel</t>
        </is>
      </c>
      <c r="N176" s="6" t="inlineStr">
        <is>
          <t>Sin resultado registrado</t>
        </is>
      </c>
      <c r="O176" s="5" t="inlineStr">
        <is>
          <t>-</t>
        </is>
      </c>
      <c r="P176" s="5" t="inlineStr">
        <is>
          <t>Excel (hoja Casos de Prueba Detallado)</t>
        </is>
      </c>
      <c r="Q176" s="5" t="inlineStr">
        <is>
          <t>N/A</t>
        </is>
      </c>
    </row>
    <row r="177">
      <c r="A177" s="5" t="inlineStr">
        <is>
          <t>Tomás Henao</t>
        </is>
      </c>
      <c r="B177" s="5" t="inlineStr">
        <is>
          <t>Usuarios</t>
        </is>
      </c>
      <c r="C177" s="5" t="inlineStr">
        <is>
          <t>RF-16</t>
        </is>
      </c>
      <c r="D177" s="5" t="inlineStr">
        <is>
          <t>Actualización del perfil</t>
        </is>
      </c>
      <c r="E177" s="5" t="inlineStr">
        <is>
          <t>ESC069</t>
        </is>
      </c>
      <c r="F177" s="5" t="inlineStr">
        <is>
          <t>TC252</t>
        </is>
      </c>
      <c r="G177" s="5" t="inlineStr">
        <is>
          <t>Teléfono inválido</t>
        </is>
      </c>
      <c r="H177" s="5" t="inlineStr">
        <is>
          <t>Sistema</t>
        </is>
      </c>
      <c r="I177" s="5" t="inlineStr">
        <is>
          <t>Funcional</t>
        </is>
      </c>
      <c r="J177" s="5" t="inlineStr">
        <is>
          <t>Casos del Excel (diseño + ejecución manual)</t>
        </is>
      </c>
      <c r="K177" s="5" t="inlineStr">
        <is>
          <t>Casos y Escenarios FuBank.xlsx</t>
        </is>
      </c>
      <c r="L177" s="5" t="inlineStr">
        <is>
          <t>Usuario ingresa un teléfono que no cumple con el formato establecido por el sistema.</t>
        </is>
      </c>
      <c r="M177" s="5" t="inlineStr">
        <is>
          <t>Sin resultado en el Excel</t>
        </is>
      </c>
      <c r="N177" s="6" t="inlineStr">
        <is>
          <t>Sin resultado registrado</t>
        </is>
      </c>
      <c r="O177" s="5" t="inlineStr">
        <is>
          <t>-</t>
        </is>
      </c>
      <c r="P177" s="5" t="inlineStr">
        <is>
          <t>Excel (hoja Casos de Prueba Detallado)</t>
        </is>
      </c>
      <c r="Q177" s="5" t="inlineStr">
        <is>
          <t>N/A</t>
        </is>
      </c>
    </row>
    <row r="178">
      <c r="A178" s="5" t="inlineStr">
        <is>
          <t>Tomás Henao</t>
        </is>
      </c>
      <c r="B178" s="5" t="inlineStr">
        <is>
          <t>Usuarios</t>
        </is>
      </c>
      <c r="C178" s="5" t="inlineStr">
        <is>
          <t>RF-16</t>
        </is>
      </c>
      <c r="D178" s="5" t="inlineStr">
        <is>
          <t>Actualización del perfil</t>
        </is>
      </c>
      <c r="E178" s="5" t="inlineStr">
        <is>
          <t>ESC069</t>
        </is>
      </c>
      <c r="F178" s="5" t="inlineStr">
        <is>
          <t>TC253</t>
        </is>
      </c>
      <c r="G178" s="5" t="inlineStr">
        <is>
          <t>Nombres con números</t>
        </is>
      </c>
      <c r="H178" s="5" t="inlineStr">
        <is>
          <t>Sistema</t>
        </is>
      </c>
      <c r="I178" s="5" t="inlineStr">
        <is>
          <t>Funcional</t>
        </is>
      </c>
      <c r="J178" s="5" t="inlineStr">
        <is>
          <t>Casos del Excel (diseño + ejecución manual)</t>
        </is>
      </c>
      <c r="K178" s="5" t="inlineStr">
        <is>
          <t>Casos y Escenarios FuBank.xlsx</t>
        </is>
      </c>
      <c r="L178" s="5" t="inlineStr">
        <is>
          <t>Usuario intenta ingresar números dentro de los campos correspondientes a nombres o apellidos.</t>
        </is>
      </c>
      <c r="M178" s="5" t="inlineStr">
        <is>
          <t>Sin resultado en el Excel</t>
        </is>
      </c>
      <c r="N178" s="6" t="inlineStr">
        <is>
          <t>Sin resultado registrado</t>
        </is>
      </c>
      <c r="O178" s="5" t="inlineStr">
        <is>
          <t>-</t>
        </is>
      </c>
      <c r="P178" s="5" t="inlineStr">
        <is>
          <t>Excel (hoja Casos de Prueba Detallado)</t>
        </is>
      </c>
      <c r="Q178" s="5" t="inlineStr">
        <is>
          <t>N/A</t>
        </is>
      </c>
    </row>
    <row r="179">
      <c r="A179" s="5" t="inlineStr">
        <is>
          <t>Tomás Henao</t>
        </is>
      </c>
      <c r="B179" s="5" t="inlineStr">
        <is>
          <t>Usuarios</t>
        </is>
      </c>
      <c r="C179" s="5" t="inlineStr">
        <is>
          <t>RF-16</t>
        </is>
      </c>
      <c r="D179" s="5" t="inlineStr">
        <is>
          <t>Actualización del perfil</t>
        </is>
      </c>
      <c r="E179" s="5" t="inlineStr">
        <is>
          <t>ESC069</t>
        </is>
      </c>
      <c r="F179" s="5" t="inlineStr">
        <is>
          <t>TC254</t>
        </is>
      </c>
      <c r="G179" s="5" t="inlineStr">
        <is>
          <t>Datos con caracteres no permitidos</t>
        </is>
      </c>
      <c r="H179" s="5" t="inlineStr">
        <is>
          <t>Sistema</t>
        </is>
      </c>
      <c r="I179" s="5" t="inlineStr">
        <is>
          <t>Funcional</t>
        </is>
      </c>
      <c r="J179" s="5" t="inlineStr">
        <is>
          <t>Casos del Excel (diseño + ejecución manual)</t>
        </is>
      </c>
      <c r="K179" s="5" t="inlineStr">
        <is>
          <t>Casos y Escenarios FuBank.xlsx</t>
        </is>
      </c>
      <c r="L179" s="5" t="inlineStr">
        <is>
          <t>Usuario introduce caracteres que no deberían ser aceptados en determinados campos personales.</t>
        </is>
      </c>
      <c r="M179" s="5" t="inlineStr">
        <is>
          <t>Sin resultado en el Excel</t>
        </is>
      </c>
      <c r="N179" s="6" t="inlineStr">
        <is>
          <t>Sin resultado registrado</t>
        </is>
      </c>
      <c r="O179" s="5" t="inlineStr">
        <is>
          <t>-</t>
        </is>
      </c>
      <c r="P179" s="5" t="inlineStr">
        <is>
          <t>Excel (hoja Casos de Prueba Detallado)</t>
        </is>
      </c>
      <c r="Q179" s="5" t="inlineStr">
        <is>
          <t>N/A</t>
        </is>
      </c>
    </row>
    <row r="180">
      <c r="A180" s="5" t="inlineStr">
        <is>
          <t>Tomás Henao</t>
        </is>
      </c>
      <c r="B180" s="5" t="inlineStr">
        <is>
          <t>Usuarios</t>
        </is>
      </c>
      <c r="C180" s="5" t="inlineStr">
        <is>
          <t>RF-16</t>
        </is>
      </c>
      <c r="D180" s="5" t="inlineStr">
        <is>
          <t>Actualización del perfil</t>
        </is>
      </c>
      <c r="E180" s="5" t="inlineStr">
        <is>
          <t>ESC069</t>
        </is>
      </c>
      <c r="F180" s="5" t="inlineStr">
        <is>
          <t>TC255</t>
        </is>
      </c>
      <c r="G180" s="5" t="inlineStr">
        <is>
          <t>Todos los campos vacíos</t>
        </is>
      </c>
      <c r="H180" s="5" t="inlineStr">
        <is>
          <t>Sistema</t>
        </is>
      </c>
      <c r="I180" s="5" t="inlineStr">
        <is>
          <t>Funcional</t>
        </is>
      </c>
      <c r="J180" s="5" t="inlineStr">
        <is>
          <t>Casos del Excel (diseño + ejecución manual)</t>
        </is>
      </c>
      <c r="K180" s="5" t="inlineStr">
        <is>
          <t>Casos y Escenarios FuBank.xlsx</t>
        </is>
      </c>
      <c r="L180" s="5" t="inlineStr">
        <is>
          <t>Usuario elimina todos los datos editables e intenta guardar el perfil.</t>
        </is>
      </c>
      <c r="M180" s="5" t="inlineStr">
        <is>
          <t>Sin resultado en el Excel</t>
        </is>
      </c>
      <c r="N180" s="6" t="inlineStr">
        <is>
          <t>Sin resultado registrado</t>
        </is>
      </c>
      <c r="O180" s="5" t="inlineStr">
        <is>
          <t>-</t>
        </is>
      </c>
      <c r="P180" s="5" t="inlineStr">
        <is>
          <t>Excel (hoja Casos de Prueba Detallado)</t>
        </is>
      </c>
      <c r="Q180" s="5" t="inlineStr">
        <is>
          <t>N/A</t>
        </is>
      </c>
    </row>
    <row r="181">
      <c r="A181" s="5" t="inlineStr">
        <is>
          <t>Tomás Henao</t>
        </is>
      </c>
      <c r="B181" s="5" t="inlineStr">
        <is>
          <t>Usuarios</t>
        </is>
      </c>
      <c r="C181" s="5" t="inlineStr">
        <is>
          <t>RF-16</t>
        </is>
      </c>
      <c r="D181" s="5" t="inlineStr">
        <is>
          <t>Actualización del perfil</t>
        </is>
      </c>
      <c r="E181" s="5" t="inlineStr">
        <is>
          <t>ESC070</t>
        </is>
      </c>
      <c r="F181" s="5" t="inlineStr">
        <is>
          <t>TC256</t>
        </is>
      </c>
      <c r="G181" s="5" t="inlineStr">
        <is>
          <t>Nombre excesivamente largo</t>
        </is>
      </c>
      <c r="H181" s="5" t="inlineStr">
        <is>
          <t>Sistema</t>
        </is>
      </c>
      <c r="I181" s="5" t="inlineStr">
        <is>
          <t>Funcional</t>
        </is>
      </c>
      <c r="J181" s="5" t="inlineStr">
        <is>
          <t>Casos del Excel (diseño + ejecución manual)</t>
        </is>
      </c>
      <c r="K181" s="5" t="inlineStr">
        <is>
          <t>Casos y Escenarios FuBank.xlsx</t>
        </is>
      </c>
      <c r="L181" s="5" t="inlineStr">
        <is>
          <t>Usuario ingresa una cantidad de caracteres extremadamente larga</t>
        </is>
      </c>
      <c r="M181" s="5" t="inlineStr">
        <is>
          <t>Sin resultado en el Excel</t>
        </is>
      </c>
      <c r="N181" s="6" t="inlineStr">
        <is>
          <t>Sin resultado registrado</t>
        </is>
      </c>
      <c r="O181" s="5" t="inlineStr">
        <is>
          <t>-</t>
        </is>
      </c>
      <c r="P181" s="5" t="inlineStr">
        <is>
          <t>Excel (hoja Casos de Prueba Detallado)</t>
        </is>
      </c>
      <c r="Q181" s="5" t="inlineStr">
        <is>
          <t>N/A</t>
        </is>
      </c>
    </row>
    <row r="182">
      <c r="A182" s="5" t="inlineStr">
        <is>
          <t>Tomás Henao</t>
        </is>
      </c>
      <c r="B182" s="5" t="inlineStr">
        <is>
          <t>Usuarios</t>
        </is>
      </c>
      <c r="C182" s="5" t="inlineStr">
        <is>
          <t>RF-16</t>
        </is>
      </c>
      <c r="D182" s="5" t="inlineStr">
        <is>
          <t>Actualización del perfil</t>
        </is>
      </c>
      <c r="E182" s="5" t="inlineStr">
        <is>
          <t>ESC070</t>
        </is>
      </c>
      <c r="F182" s="5" t="inlineStr">
        <is>
          <t>TC257</t>
        </is>
      </c>
      <c r="G182" s="5" t="inlineStr">
        <is>
          <t>Apellido excesivamente largo</t>
        </is>
      </c>
      <c r="H182" s="5" t="inlineStr">
        <is>
          <t>Sistema</t>
        </is>
      </c>
      <c r="I182" s="5" t="inlineStr">
        <is>
          <t>Funcional</t>
        </is>
      </c>
      <c r="J182" s="5" t="inlineStr">
        <is>
          <t>Casos del Excel (diseño + ejecución manual)</t>
        </is>
      </c>
      <c r="K182" s="5" t="inlineStr">
        <is>
          <t>Casos y Escenarios FuBank.xlsx</t>
        </is>
      </c>
      <c r="L182" s="5" t="inlineStr">
        <is>
          <t>Usuario ingresa una cantidad de caracteres extremadamente larga en el campo de apellido.</t>
        </is>
      </c>
      <c r="M182" s="5" t="inlineStr">
        <is>
          <t>Sin resultado en el Excel</t>
        </is>
      </c>
      <c r="N182" s="6" t="inlineStr">
        <is>
          <t>Sin resultado registrado</t>
        </is>
      </c>
      <c r="O182" s="5" t="inlineStr">
        <is>
          <t>-</t>
        </is>
      </c>
      <c r="P182" s="5" t="inlineStr">
        <is>
          <t>Excel (hoja Casos de Prueba Detallado)</t>
        </is>
      </c>
      <c r="Q182" s="5" t="inlineStr">
        <is>
          <t>N/A</t>
        </is>
      </c>
    </row>
    <row r="183">
      <c r="A183" s="5" t="inlineStr">
        <is>
          <t>Tomás Henao</t>
        </is>
      </c>
      <c r="B183" s="5" t="inlineStr">
        <is>
          <t>Usuarios</t>
        </is>
      </c>
      <c r="C183" s="5" t="inlineStr">
        <is>
          <t>RF-16</t>
        </is>
      </c>
      <c r="D183" s="5" t="inlineStr">
        <is>
          <t>Actualización del perfil</t>
        </is>
      </c>
      <c r="E183" s="5" t="inlineStr">
        <is>
          <t>ESC070</t>
        </is>
      </c>
      <c r="F183" s="5" t="inlineStr">
        <is>
          <t>TC258</t>
        </is>
      </c>
      <c r="G183" s="5" t="inlineStr">
        <is>
          <t>Teléfono excesivamente largo</t>
        </is>
      </c>
      <c r="H183" s="5" t="inlineStr">
        <is>
          <t>Sistema</t>
        </is>
      </c>
      <c r="I183" s="5" t="inlineStr">
        <is>
          <t>Funcional</t>
        </is>
      </c>
      <c r="J183" s="5" t="inlineStr">
        <is>
          <t>Casos del Excel (diseño + ejecución manual)</t>
        </is>
      </c>
      <c r="K183" s="5" t="inlineStr">
        <is>
          <t>Casos y Escenarios FuBank.xlsx</t>
        </is>
      </c>
      <c r="L183" s="5" t="inlineStr">
        <is>
          <t>Usuario ingresa un número de teléfono que supera considerablemente la longitud esperada.</t>
        </is>
      </c>
      <c r="M183" s="5" t="inlineStr">
        <is>
          <t>Sin resultado en el Excel</t>
        </is>
      </c>
      <c r="N183" s="6" t="inlineStr">
        <is>
          <t>Sin resultado registrado</t>
        </is>
      </c>
      <c r="O183" s="5" t="inlineStr">
        <is>
          <t>-</t>
        </is>
      </c>
      <c r="P183" s="5" t="inlineStr">
        <is>
          <t>Excel (hoja Casos de Prueba Detallado)</t>
        </is>
      </c>
      <c r="Q183" s="5" t="inlineStr">
        <is>
          <t>N/A</t>
        </is>
      </c>
    </row>
    <row r="184">
      <c r="A184" s="5" t="inlineStr">
        <is>
          <t>Tomás Henao</t>
        </is>
      </c>
      <c r="B184" s="5" t="inlineStr">
        <is>
          <t>Usuarios</t>
        </is>
      </c>
      <c r="C184" s="5" t="inlineStr">
        <is>
          <t>RF-16</t>
        </is>
      </c>
      <c r="D184" s="5" t="inlineStr">
        <is>
          <t>Actualización del perfil</t>
        </is>
      </c>
      <c r="E184" s="5" t="inlineStr">
        <is>
          <t>ESC070</t>
        </is>
      </c>
      <c r="F184" s="5" t="inlineStr">
        <is>
          <t>TC259</t>
        </is>
      </c>
      <c r="G184" s="5" t="inlineStr">
        <is>
          <t>Fecha futura</t>
        </is>
      </c>
      <c r="H184" s="5" t="inlineStr">
        <is>
          <t>Sistema</t>
        </is>
      </c>
      <c r="I184" s="5" t="inlineStr">
        <is>
          <t>Funcional</t>
        </is>
      </c>
      <c r="J184" s="5" t="inlineStr">
        <is>
          <t>Casos del Excel (diseño + ejecución manual)</t>
        </is>
      </c>
      <c r="K184" s="5" t="inlineStr">
        <is>
          <t>Casos y Escenarios FuBank.xlsx</t>
        </is>
      </c>
      <c r="L184" s="5" t="inlineStr">
        <is>
          <t>Usuario intenta establecer una fecha de nacimiento posterior a la fecha actual.</t>
        </is>
      </c>
      <c r="M184" s="5" t="inlineStr">
        <is>
          <t>Sin resultado en el Excel</t>
        </is>
      </c>
      <c r="N184" s="6" t="inlineStr">
        <is>
          <t>Sin resultado registrado</t>
        </is>
      </c>
      <c r="O184" s="5" t="inlineStr">
        <is>
          <t>-</t>
        </is>
      </c>
      <c r="P184" s="5" t="inlineStr">
        <is>
          <t>Excel (hoja Casos de Prueba Detallado)</t>
        </is>
      </c>
      <c r="Q184" s="5" t="inlineStr">
        <is>
          <t>N/A</t>
        </is>
      </c>
    </row>
    <row r="185">
      <c r="A185" s="5" t="inlineStr">
        <is>
          <t>Tomás Henao</t>
        </is>
      </c>
      <c r="B185" s="5" t="inlineStr">
        <is>
          <t>Usuarios</t>
        </is>
      </c>
      <c r="C185" s="5" t="inlineStr">
        <is>
          <t>RF-16</t>
        </is>
      </c>
      <c r="D185" s="5" t="inlineStr">
        <is>
          <t>Actualización del perfil</t>
        </is>
      </c>
      <c r="E185" s="5" t="inlineStr">
        <is>
          <t>ESC070</t>
        </is>
      </c>
      <c r="F185" s="5" t="inlineStr">
        <is>
          <t>TC260</t>
        </is>
      </c>
      <c r="G185" s="5" t="inlineStr">
        <is>
          <t>Fecha extremadamente antigua</t>
        </is>
      </c>
      <c r="H185" s="5" t="inlineStr">
        <is>
          <t>Sistema</t>
        </is>
      </c>
      <c r="I185" s="5" t="inlineStr">
        <is>
          <t>Funcional</t>
        </is>
      </c>
      <c r="J185" s="5" t="inlineStr">
        <is>
          <t>Casos del Excel (diseño + ejecución manual)</t>
        </is>
      </c>
      <c r="K185" s="5" t="inlineStr">
        <is>
          <t>Casos y Escenarios FuBank.xlsx</t>
        </is>
      </c>
      <c r="L185" s="5" t="inlineStr">
        <is>
          <t>Usuario intenta ingresar una fecha de nacimiento extremadamente antigua</t>
        </is>
      </c>
      <c r="M185" s="5" t="inlineStr">
        <is>
          <t>Sin resultado en el Excel</t>
        </is>
      </c>
      <c r="N185" s="6" t="inlineStr">
        <is>
          <t>Sin resultado registrado</t>
        </is>
      </c>
      <c r="O185" s="5" t="inlineStr">
        <is>
          <t>-</t>
        </is>
      </c>
      <c r="P185" s="5" t="inlineStr">
        <is>
          <t>Excel (hoja Casos de Prueba Detallado)</t>
        </is>
      </c>
      <c r="Q185" s="5" t="inlineStr">
        <is>
          <t>N/A</t>
        </is>
      </c>
    </row>
    <row r="186">
      <c r="A186" s="5" t="inlineStr">
        <is>
          <t>Tomás Henao</t>
        </is>
      </c>
      <c r="B186" s="5" t="inlineStr">
        <is>
          <t>Usuarios</t>
        </is>
      </c>
      <c r="C186" s="5" t="inlineStr">
        <is>
          <t>RF-16</t>
        </is>
      </c>
      <c r="D186" s="5" t="inlineStr">
        <is>
          <t>Actualización del perfil</t>
        </is>
      </c>
      <c r="E186" s="5" t="inlineStr">
        <is>
          <t>ESC070</t>
        </is>
      </c>
      <c r="F186" s="5" t="inlineStr">
        <is>
          <t>TC261</t>
        </is>
      </c>
      <c r="G186" s="5" t="inlineStr">
        <is>
          <t>Caracteres especiales en nombres</t>
        </is>
      </c>
      <c r="H186" s="5" t="inlineStr">
        <is>
          <t>Sistema</t>
        </is>
      </c>
      <c r="I186" s="5" t="inlineStr">
        <is>
          <t>Funcional</t>
        </is>
      </c>
      <c r="J186" s="5" t="inlineStr">
        <is>
          <t>Casos del Excel (diseño + ejecución manual)</t>
        </is>
      </c>
      <c r="K186" s="5" t="inlineStr">
        <is>
          <t>Casos y Escenarios FuBank.xlsx</t>
        </is>
      </c>
      <c r="L186" s="5" t="inlineStr">
        <is>
          <t>Usuario introduce símbolos o caracteres especiales en los campos de nombres y apellidos.</t>
        </is>
      </c>
      <c r="M186" s="5" t="inlineStr">
        <is>
          <t>Sin resultado en el Excel</t>
        </is>
      </c>
      <c r="N186" s="6" t="inlineStr">
        <is>
          <t>Sin resultado registrado</t>
        </is>
      </c>
      <c r="O186" s="5" t="inlineStr">
        <is>
          <t>-</t>
        </is>
      </c>
      <c r="P186" s="5" t="inlineStr">
        <is>
          <t>Excel (hoja Casos de Prueba Detallado)</t>
        </is>
      </c>
      <c r="Q186" s="5" t="inlineStr">
        <is>
          <t>N/A</t>
        </is>
      </c>
    </row>
    <row r="187">
      <c r="A187" s="5" t="inlineStr">
        <is>
          <t>Tomás Henao</t>
        </is>
      </c>
      <c r="B187" s="5" t="inlineStr">
        <is>
          <t>Usuarios</t>
        </is>
      </c>
      <c r="C187" s="5" t="inlineStr">
        <is>
          <t>RF-16</t>
        </is>
      </c>
      <c r="D187" s="5" t="inlineStr">
        <is>
          <t>Actualización del perfil</t>
        </is>
      </c>
      <c r="E187" s="5" t="inlineStr">
        <is>
          <t>ESC070</t>
        </is>
      </c>
      <c r="F187" s="5" t="inlineStr">
        <is>
          <t>TC262</t>
        </is>
      </c>
      <c r="G187" s="5" t="inlineStr">
        <is>
          <t>Espacios adicionales</t>
        </is>
      </c>
      <c r="H187" s="5" t="inlineStr">
        <is>
          <t>Sistema</t>
        </is>
      </c>
      <c r="I187" s="5" t="inlineStr">
        <is>
          <t>Funcional</t>
        </is>
      </c>
      <c r="J187" s="5" t="inlineStr">
        <is>
          <t>Casos del Excel (diseño + ejecución manual)</t>
        </is>
      </c>
      <c r="K187" s="5" t="inlineStr">
        <is>
          <t>Casos y Escenarios FuBank.xlsx</t>
        </is>
      </c>
      <c r="L187" s="5" t="inlineStr">
        <is>
          <t>Usuario introduce espacios al inicio, al final o múltiples espacios entre palabras en los datos personales.</t>
        </is>
      </c>
      <c r="M187" s="5" t="inlineStr">
        <is>
          <t>Sin resultado en el Excel</t>
        </is>
      </c>
      <c r="N187" s="6" t="inlineStr">
        <is>
          <t>Sin resultado registrado</t>
        </is>
      </c>
      <c r="O187" s="5" t="inlineStr">
        <is>
          <t>-</t>
        </is>
      </c>
      <c r="P187" s="5" t="inlineStr">
        <is>
          <t>Excel (hoja Casos de Prueba Detallado)</t>
        </is>
      </c>
      <c r="Q187" s="5" t="inlineStr">
        <is>
          <t>N/A</t>
        </is>
      </c>
    </row>
    <row r="188">
      <c r="A188" s="5" t="inlineStr">
        <is>
          <t>Tomás Henao</t>
        </is>
      </c>
      <c r="B188" s="5" t="inlineStr">
        <is>
          <t>Usuarios</t>
        </is>
      </c>
      <c r="C188" s="5" t="inlineStr">
        <is>
          <t>RF-16</t>
        </is>
      </c>
      <c r="D188" s="5" t="inlineStr">
        <is>
          <t>Actualización del perfil</t>
        </is>
      </c>
      <c r="E188" s="5" t="inlineStr">
        <is>
          <t>profile/edit-profile.cy.ts</t>
        </is>
      </c>
      <c r="F188" s="5" t="inlineStr">
        <is>
          <t>CYU-EDIT-P-01</t>
        </is>
      </c>
      <c r="G188" s="5" t="inlineStr">
        <is>
          <t>CP01: Editar nombre y apellido exitosamente</t>
        </is>
      </c>
      <c r="H188" s="5" t="inlineStr">
        <is>
          <t>Sistema (E2E)</t>
        </is>
      </c>
      <c r="I188" s="5" t="inlineStr">
        <is>
          <t>Funcional</t>
        </is>
      </c>
      <c r="J188" s="5" t="inlineStr">
        <is>
          <t>Cypress (Usuarios y Retiro, Tomás)</t>
        </is>
      </c>
      <c r="K188" s="5" t="inlineStr">
        <is>
          <t>cypress/e2e/profile/edit-profile.cy.ts</t>
        </is>
      </c>
      <c r="L188" s="5" t="inlineStr">
        <is>
          <t>CP01: Editar nombre y apellido exitosamente</t>
        </is>
      </c>
      <c r="M188" s="5" t="inlineStr">
        <is>
          <t>No ejecutado: usa /auth/test-helper/* y las cuentas fijas de c9ce5f4 (regresión REG-01 abierta)</t>
        </is>
      </c>
      <c r="N188" s="6" t="inlineStr">
        <is>
          <t>No ejecutado</t>
        </is>
      </c>
      <c r="O188" s="5" t="inlineStr">
        <is>
          <t>-</t>
        </is>
      </c>
      <c r="P188" s="5" t="inlineStr">
        <is>
          <t>-</t>
        </is>
      </c>
      <c r="Q188" s="5" t="inlineStr">
        <is>
          <t>-</t>
        </is>
      </c>
    </row>
    <row r="189">
      <c r="A189" s="5" t="inlineStr">
        <is>
          <t>Tomás Henao</t>
        </is>
      </c>
      <c r="B189" s="5" t="inlineStr">
        <is>
          <t>Usuarios</t>
        </is>
      </c>
      <c r="C189" s="5" t="inlineStr">
        <is>
          <t>RF-16</t>
        </is>
      </c>
      <c r="D189" s="5" t="inlineStr">
        <is>
          <t>Actualización del perfil</t>
        </is>
      </c>
      <c r="E189" s="5" t="inlineStr">
        <is>
          <t>profile/edit-profile.cy.ts</t>
        </is>
      </c>
      <c r="F189" s="5" t="inlineStr">
        <is>
          <t>CYU-EDIT-P-02</t>
        </is>
      </c>
      <c r="G189" s="5" t="inlineStr">
        <is>
          <t>CP02: Editar teléfono e ingresos mensuales exitosamente</t>
        </is>
      </c>
      <c r="H189" s="5" t="inlineStr">
        <is>
          <t>Sistema (E2E)</t>
        </is>
      </c>
      <c r="I189" s="5" t="inlineStr">
        <is>
          <t>Funcional</t>
        </is>
      </c>
      <c r="J189" s="5" t="inlineStr">
        <is>
          <t>Cypress (Usuarios y Retiro, Tomás)</t>
        </is>
      </c>
      <c r="K189" s="5" t="inlineStr">
        <is>
          <t>cypress/e2e/profile/edit-profile.cy.ts</t>
        </is>
      </c>
      <c r="L189" s="5" t="inlineStr">
        <is>
          <t>CP02: Editar teléfono e ingresos mensuales exitosamente</t>
        </is>
      </c>
      <c r="M189" s="5" t="inlineStr">
        <is>
          <t>No ejecutado: usa /auth/test-helper/* y las cuentas fijas de c9ce5f4 (regresión REG-01 abierta)</t>
        </is>
      </c>
      <c r="N189" s="6" t="inlineStr">
        <is>
          <t>No ejecutado</t>
        </is>
      </c>
      <c r="O189" s="5" t="inlineStr">
        <is>
          <t>-</t>
        </is>
      </c>
      <c r="P189" s="5" t="inlineStr">
        <is>
          <t>-</t>
        </is>
      </c>
      <c r="Q189" s="5" t="inlineStr">
        <is>
          <t>-</t>
        </is>
      </c>
    </row>
    <row r="190">
      <c r="A190" s="5" t="inlineStr">
        <is>
          <t>Tomás Henao</t>
        </is>
      </c>
      <c r="B190" s="5" t="inlineStr">
        <is>
          <t>Usuarios</t>
        </is>
      </c>
      <c r="C190" s="5" t="inlineStr">
        <is>
          <t>RF-16</t>
        </is>
      </c>
      <c r="D190" s="5" t="inlineStr">
        <is>
          <t>Actualización del perfil</t>
        </is>
      </c>
      <c r="E190" s="5" t="inlineStr">
        <is>
          <t>profile/edit-profile.cy.ts</t>
        </is>
      </c>
      <c r="F190" s="5" t="inlineStr">
        <is>
          <t>CYU-EDIT-P-03</t>
        </is>
      </c>
      <c r="G190" s="5" t="inlineStr">
        <is>
          <t>CP03: Validación con primer nombre menor a 2 caracteres</t>
        </is>
      </c>
      <c r="H190" s="5" t="inlineStr">
        <is>
          <t>Sistema (E2E)</t>
        </is>
      </c>
      <c r="I190" s="5" t="inlineStr">
        <is>
          <t>Funcional</t>
        </is>
      </c>
      <c r="J190" s="5" t="inlineStr">
        <is>
          <t>Cypress (Usuarios y Retiro, Tomás)</t>
        </is>
      </c>
      <c r="K190" s="5" t="inlineStr">
        <is>
          <t>cypress/e2e/profile/edit-profile.cy.ts</t>
        </is>
      </c>
      <c r="L190" s="5" t="inlineStr">
        <is>
          <t>CP03: Validación con primer nombre menor a 2 caracteres</t>
        </is>
      </c>
      <c r="M190" s="5" t="inlineStr">
        <is>
          <t>No ejecutado: usa /auth/test-helper/* y las cuentas fijas de c9ce5f4 (regresión REG-01 abierta)</t>
        </is>
      </c>
      <c r="N190" s="6" t="inlineStr">
        <is>
          <t>No ejecutado</t>
        </is>
      </c>
      <c r="O190" s="5" t="inlineStr">
        <is>
          <t>-</t>
        </is>
      </c>
      <c r="P190" s="5" t="inlineStr">
        <is>
          <t>-</t>
        </is>
      </c>
      <c r="Q190" s="5" t="inlineStr">
        <is>
          <t>-</t>
        </is>
      </c>
    </row>
    <row r="191">
      <c r="A191" s="5" t="inlineStr">
        <is>
          <t>Tomás Henao</t>
        </is>
      </c>
      <c r="B191" s="5" t="inlineStr">
        <is>
          <t>Usuarios</t>
        </is>
      </c>
      <c r="C191" s="5" t="inlineStr">
        <is>
          <t>RF-16</t>
        </is>
      </c>
      <c r="D191" s="5" t="inlineStr">
        <is>
          <t>Actualización del perfil</t>
        </is>
      </c>
      <c r="E191" s="5" t="inlineStr">
        <is>
          <t>profile/edit-profile.cy.ts</t>
        </is>
      </c>
      <c r="F191" s="5" t="inlineStr">
        <is>
          <t>CYU-EDIT-P-04</t>
        </is>
      </c>
      <c r="G191" s="5" t="inlineStr">
        <is>
          <t>CP04: Validación con primer apellido menor a 2 caracteres</t>
        </is>
      </c>
      <c r="H191" s="5" t="inlineStr">
        <is>
          <t>Sistema (E2E)</t>
        </is>
      </c>
      <c r="I191" s="5" t="inlineStr">
        <is>
          <t>Funcional</t>
        </is>
      </c>
      <c r="J191" s="5" t="inlineStr">
        <is>
          <t>Cypress (Usuarios y Retiro, Tomás)</t>
        </is>
      </c>
      <c r="K191" s="5" t="inlineStr">
        <is>
          <t>cypress/e2e/profile/edit-profile.cy.ts</t>
        </is>
      </c>
      <c r="L191" s="5" t="inlineStr">
        <is>
          <t>CP04: Validación con primer apellido menor a 2 caracteres</t>
        </is>
      </c>
      <c r="M191" s="5" t="inlineStr">
        <is>
          <t>No ejecutado: usa /auth/test-helper/* y las cuentas fijas de c9ce5f4 (regresión REG-01 abierta)</t>
        </is>
      </c>
      <c r="N191" s="6" t="inlineStr">
        <is>
          <t>No ejecutado</t>
        </is>
      </c>
      <c r="O191" s="5" t="inlineStr">
        <is>
          <t>-</t>
        </is>
      </c>
      <c r="P191" s="5" t="inlineStr">
        <is>
          <t>-</t>
        </is>
      </c>
      <c r="Q191" s="5" t="inlineStr">
        <is>
          <t>-</t>
        </is>
      </c>
    </row>
    <row r="192">
      <c r="A192" s="5" t="inlineStr">
        <is>
          <t>Tomás Henao</t>
        </is>
      </c>
      <c r="B192" s="5" t="inlineStr">
        <is>
          <t>Usuarios</t>
        </is>
      </c>
      <c r="C192" s="5" t="inlineStr">
        <is>
          <t>RF-16</t>
        </is>
      </c>
      <c r="D192" s="5" t="inlineStr">
        <is>
          <t>Actualización del perfil</t>
        </is>
      </c>
      <c r="E192" s="5" t="inlineStr">
        <is>
          <t>profile/edit-profile.cy.ts</t>
        </is>
      </c>
      <c r="F192" s="5" t="inlineStr">
        <is>
          <t>CYU-EDIT-P-05</t>
        </is>
      </c>
      <c r="G192" s="5" t="inlineStr">
        <is>
          <t>CP05: Cancelar edición retorna a la vista principal del perfil</t>
        </is>
      </c>
      <c r="H192" s="5" t="inlineStr">
        <is>
          <t>Sistema (E2E)</t>
        </is>
      </c>
      <c r="I192" s="5" t="inlineStr">
        <is>
          <t>Funcional</t>
        </is>
      </c>
      <c r="J192" s="5" t="inlineStr">
        <is>
          <t>Cypress (Usuarios y Retiro, Tomás)</t>
        </is>
      </c>
      <c r="K192" s="5" t="inlineStr">
        <is>
          <t>cypress/e2e/profile/edit-profile.cy.ts</t>
        </is>
      </c>
      <c r="L192" s="5" t="inlineStr">
        <is>
          <t>CP05: Cancelar edición retorna a la vista principal del perfil</t>
        </is>
      </c>
      <c r="M192" s="5" t="inlineStr">
        <is>
          <t>No ejecutado: usa /auth/test-helper/* y las cuentas fijas de c9ce5f4 (regresión REG-01 abierta)</t>
        </is>
      </c>
      <c r="N192" s="6" t="inlineStr">
        <is>
          <t>No ejecutado</t>
        </is>
      </c>
      <c r="O192" s="5" t="inlineStr">
        <is>
          <t>-</t>
        </is>
      </c>
      <c r="P192" s="5" t="inlineStr">
        <is>
          <t>-</t>
        </is>
      </c>
      <c r="Q192" s="5" t="inlineStr">
        <is>
          <t>-</t>
        </is>
      </c>
    </row>
    <row r="193">
      <c r="A193" s="5" t="inlineStr">
        <is>
          <t>Tomás Henao</t>
        </is>
      </c>
      <c r="B193" s="5" t="inlineStr">
        <is>
          <t>Usuarios</t>
        </is>
      </c>
      <c r="C193" s="5" t="inlineStr">
        <is>
          <t>RF-16</t>
        </is>
      </c>
      <c r="D193" s="5" t="inlineStr">
        <is>
          <t>Actualización del perfil</t>
        </is>
      </c>
      <c r="E193" s="5" t="inlineStr">
        <is>
          <t>Katalon Recorder</t>
        </is>
      </c>
      <c r="F193" s="5" t="inlineStr">
        <is>
          <t>Suite_12_Perfil</t>
        </is>
      </c>
      <c r="G193" s="5" t="inlineStr">
        <is>
          <t>Suite_12_Perfil (Tomás)</t>
        </is>
      </c>
      <c r="H193" s="5" t="inlineStr">
        <is>
          <t>Sistema (E2E)</t>
        </is>
      </c>
      <c r="I193" s="5" t="inlineStr">
        <is>
          <t>Funcional</t>
        </is>
      </c>
      <c r="J193" s="5" t="inlineStr">
        <is>
          <t>Katalon Recorder</t>
        </is>
      </c>
      <c r="K193" s="5" t="inlineStr">
        <is>
          <t>katalon/suites/Suite_12_Perfil.html</t>
        </is>
      </c>
      <c r="L193" s="5" t="inlineStr">
        <is>
          <t>Todos los casos de la suite pasan</t>
        </is>
      </c>
      <c r="M193" s="5" t="inlineStr">
        <is>
          <t>Sin resultado registrado en el repositorio</t>
        </is>
      </c>
      <c r="N193" s="6" t="inlineStr">
        <is>
          <t>Sin resultado registrado</t>
        </is>
      </c>
      <c r="O193" s="5" t="inlineStr">
        <is>
          <t>-</t>
        </is>
      </c>
      <c r="P193" s="5" t="inlineStr">
        <is>
          <t>-</t>
        </is>
      </c>
      <c r="Q193" s="5" t="inlineStr">
        <is>
          <t>-</t>
        </is>
      </c>
    </row>
    <row r="194">
      <c r="A194" s="5" t="inlineStr">
        <is>
          <t>Tomás Henao</t>
        </is>
      </c>
      <c r="B194" s="5" t="inlineStr">
        <is>
          <t>Usuarios</t>
        </is>
      </c>
      <c r="C194" s="5" t="inlineStr">
        <is>
          <t>RF-16</t>
        </is>
      </c>
      <c r="D194" s="5" t="inlineStr">
        <is>
          <t>Actualización del perfil</t>
        </is>
      </c>
      <c r="E194" s="5" t="inlineStr">
        <is>
          <t>perfil.feature</t>
        </is>
      </c>
      <c r="F194" s="5" t="inlineStr">
        <is>
          <t>SJ-PERF-01</t>
        </is>
      </c>
      <c r="G194" s="5" t="inlineStr">
        <is>
          <t>Actualizar nombre exitosamente</t>
        </is>
      </c>
      <c r="H194" s="5" t="inlineStr">
        <is>
          <t>Integración (API)</t>
        </is>
      </c>
      <c r="I194" s="5" t="inlineStr">
        <is>
          <t>Funcional</t>
        </is>
      </c>
      <c r="J194" s="5" t="inlineStr">
        <is>
          <t>Serenity/JS Screenplay + Gherkin</t>
        </is>
      </c>
      <c r="K194" s="5" t="inlineStr">
        <is>
          <t>features/perfil/perfil.feature</t>
        </is>
      </c>
      <c r="L194" s="5" t="inlineStr">
        <is>
          <t>Actualizar nombre exitosamente</t>
        </is>
      </c>
      <c r="M194" s="5" t="inlineStr">
        <is>
          <t>Todos los pasos pasaron</t>
        </is>
      </c>
      <c r="N194" s="7" t="inlineStr">
        <is>
          <t>Aprobado</t>
        </is>
      </c>
      <c r="O194" s="5" t="inlineStr">
        <is>
          <t>2026-10-27</t>
        </is>
      </c>
      <c r="P194" s="5" t="inlineStr">
        <is>
          <t>docs/evidencia-final-equipo/serenity-equipo-corrida.txt</t>
        </is>
      </c>
      <c r="Q194" s="5" t="inlineStr">
        <is>
          <t>-</t>
        </is>
      </c>
    </row>
    <row r="195">
      <c r="A195" s="5" t="inlineStr">
        <is>
          <t>Tomás Henao</t>
        </is>
      </c>
      <c r="B195" s="5" t="inlineStr">
        <is>
          <t>Usuarios</t>
        </is>
      </c>
      <c r="C195" s="5" t="inlineStr">
        <is>
          <t>RF-16</t>
        </is>
      </c>
      <c r="D195" s="5" t="inlineStr">
        <is>
          <t>Actualización del perfil</t>
        </is>
      </c>
      <c r="E195" s="5" t="inlineStr">
        <is>
          <t>perfil.feature</t>
        </is>
      </c>
      <c r="F195" s="5" t="inlineStr">
        <is>
          <t>SJ-PERF-02</t>
        </is>
      </c>
      <c r="G195" s="5" t="inlineStr">
        <is>
          <t>Actualizar perfil con nombre vacío</t>
        </is>
      </c>
      <c r="H195" s="5" t="inlineStr">
        <is>
          <t>Integración (API)</t>
        </is>
      </c>
      <c r="I195" s="5" t="inlineStr">
        <is>
          <t>Funcional</t>
        </is>
      </c>
      <c r="J195" s="5" t="inlineStr">
        <is>
          <t>Serenity/JS Screenplay + Gherkin</t>
        </is>
      </c>
      <c r="K195" s="5" t="inlineStr">
        <is>
          <t>features/perfil/perfil.feature</t>
        </is>
      </c>
      <c r="L195" s="5" t="inlineStr">
        <is>
          <t>Actualizar perfil con nombre vacío</t>
        </is>
      </c>
      <c r="M195" s="5" t="inlineStr">
        <is>
          <t>Todos los pasos pasaron</t>
        </is>
      </c>
      <c r="N195" s="7" t="inlineStr">
        <is>
          <t>Aprobado</t>
        </is>
      </c>
      <c r="O195" s="5" t="inlineStr">
        <is>
          <t>2026-10-27</t>
        </is>
      </c>
      <c r="P195" s="5" t="inlineStr">
        <is>
          <t>docs/evidencia-final-equipo/serenity-equipo-corrida.txt</t>
        </is>
      </c>
      <c r="Q195" s="5" t="inlineStr">
        <is>
          <t>-</t>
        </is>
      </c>
    </row>
    <row r="196">
      <c r="A196" s="5" t="inlineStr">
        <is>
          <t>Tomás Henao</t>
        </is>
      </c>
      <c r="B196" s="5" t="inlineStr">
        <is>
          <t>Usuarios</t>
        </is>
      </c>
      <c r="C196" s="5" t="inlineStr">
        <is>
          <t>RF-16</t>
        </is>
      </c>
      <c r="D196" s="5" t="inlineStr">
        <is>
          <t>Actualización del perfil</t>
        </is>
      </c>
      <c r="E196" s="5" t="inlineStr">
        <is>
          <t>perfil.feature</t>
        </is>
      </c>
      <c r="F196" s="5" t="inlineStr">
        <is>
          <t>SJ-PERF-03</t>
        </is>
      </c>
      <c r="G196" s="5" t="inlineStr">
        <is>
          <t>Actualizar perfil con apellido vacío</t>
        </is>
      </c>
      <c r="H196" s="5" t="inlineStr">
        <is>
          <t>Integración (API)</t>
        </is>
      </c>
      <c r="I196" s="5" t="inlineStr">
        <is>
          <t>Funcional</t>
        </is>
      </c>
      <c r="J196" s="5" t="inlineStr">
        <is>
          <t>Serenity/JS Screenplay + Gherkin</t>
        </is>
      </c>
      <c r="K196" s="5" t="inlineStr">
        <is>
          <t>features/perfil/perfil.feature</t>
        </is>
      </c>
      <c r="L196" s="5" t="inlineStr">
        <is>
          <t>Actualizar perfil con apellido vacío</t>
        </is>
      </c>
      <c r="M196" s="5" t="inlineStr">
        <is>
          <t>Todos los pasos pasaron</t>
        </is>
      </c>
      <c r="N196" s="7" t="inlineStr">
        <is>
          <t>Aprobado</t>
        </is>
      </c>
      <c r="O196" s="5" t="inlineStr">
        <is>
          <t>2026-10-27</t>
        </is>
      </c>
      <c r="P196" s="5" t="inlineStr">
        <is>
          <t>docs/evidencia-final-equipo/serenity-equipo-corrida.txt</t>
        </is>
      </c>
      <c r="Q196" s="5" t="inlineStr">
        <is>
          <t>-</t>
        </is>
      </c>
    </row>
    <row r="197">
      <c r="A197" s="5" t="inlineStr">
        <is>
          <t>Tomás Henao</t>
        </is>
      </c>
      <c r="B197" s="5" t="inlineStr">
        <is>
          <t>Usuarios</t>
        </is>
      </c>
      <c r="C197" s="5" t="inlineStr">
        <is>
          <t>RF-16</t>
        </is>
      </c>
      <c r="D197" s="5" t="inlineStr">
        <is>
          <t>Actualización del perfil</t>
        </is>
      </c>
      <c r="E197" s="5" t="inlineStr">
        <is>
          <t>perfil.feature</t>
        </is>
      </c>
      <c r="F197" s="5" t="inlineStr">
        <is>
          <t>SJ-PERF-04</t>
        </is>
      </c>
      <c r="G197" s="5" t="inlineStr">
        <is>
          <t>Actualizar perfil sin autenticación</t>
        </is>
      </c>
      <c r="H197" s="5" t="inlineStr">
        <is>
          <t>Integración (API)</t>
        </is>
      </c>
      <c r="I197" s="5" t="inlineStr">
        <is>
          <t>Funcional</t>
        </is>
      </c>
      <c r="J197" s="5" t="inlineStr">
        <is>
          <t>Serenity/JS Screenplay + Gherkin</t>
        </is>
      </c>
      <c r="K197" s="5" t="inlineStr">
        <is>
          <t>features/perfil/perfil.feature</t>
        </is>
      </c>
      <c r="L197" s="5" t="inlineStr">
        <is>
          <t>Actualizar perfil sin autenticación</t>
        </is>
      </c>
      <c r="M197" s="5" t="inlineStr">
        <is>
          <t>Todos los pasos pasaron</t>
        </is>
      </c>
      <c r="N197" s="7" t="inlineStr">
        <is>
          <t>Aprobado</t>
        </is>
      </c>
      <c r="O197" s="5" t="inlineStr">
        <is>
          <t>2026-10-27</t>
        </is>
      </c>
      <c r="P197" s="5" t="inlineStr">
        <is>
          <t>docs/evidencia-final-equipo/serenity-equipo-corrida.txt</t>
        </is>
      </c>
      <c r="Q197" s="5" t="inlineStr">
        <is>
          <t>-</t>
        </is>
      </c>
    </row>
    <row r="198">
      <c r="A198" s="5" t="inlineStr">
        <is>
          <t>Tomás Henao</t>
        </is>
      </c>
      <c r="B198" s="5" t="inlineStr">
        <is>
          <t>Usuarios</t>
        </is>
      </c>
      <c r="C198" s="5" t="inlineStr">
        <is>
          <t>RF-16</t>
        </is>
      </c>
      <c r="D198" s="5" t="inlineStr">
        <is>
          <t>Actualización del perfil</t>
        </is>
      </c>
      <c r="E198" s="5" t="inlineStr">
        <is>
          <t>Stagehand</t>
        </is>
      </c>
      <c r="F198" s="5" t="inlineStr">
        <is>
          <t>SH-T12</t>
        </is>
      </c>
      <c r="G198" s="5" t="inlineStr">
        <is>
          <t>12-editar-perfil (act + extract, 10 pasos)</t>
        </is>
      </c>
      <c r="H198" s="5" t="inlineStr">
        <is>
          <t>Sistema (E2E con IA)</t>
        </is>
      </c>
      <c r="I198" s="5" t="inlineStr">
        <is>
          <t>Funcional</t>
        </is>
      </c>
      <c r="J198" s="5" t="inlineStr">
        <is>
          <t>Stagehand (Tomás)</t>
        </is>
      </c>
      <c r="K198" s="5" t="inlineStr">
        <is>
          <t>e2e/stagehand/src/scenarios/</t>
        </is>
      </c>
      <c r="L198" s="5" t="inlineStr">
        <is>
          <t>Ver escenario</t>
        </is>
      </c>
      <c r="M198" s="5" t="inlineStr">
        <is>
          <t>Reporte generado al completar el escenario</t>
        </is>
      </c>
      <c r="N198" s="8" t="inlineStr">
        <is>
          <t>Aprobado (reportado)</t>
        </is>
      </c>
      <c r="O198" s="5" t="inlineStr">
        <is>
          <t>2026-10-27</t>
        </is>
      </c>
      <c r="P198" s="5" t="inlineStr">
        <is>
          <t>e2e/stagehand/evidence/12-editar-perfil-report.json</t>
        </is>
      </c>
      <c r="Q198" s="5" t="inlineStr">
        <is>
          <t>-</t>
        </is>
      </c>
    </row>
    <row r="199">
      <c r="A199" s="5" t="inlineStr">
        <is>
          <t>Tomás Henao</t>
        </is>
      </c>
      <c r="B199" s="5" t="inlineStr">
        <is>
          <t>Usuarios</t>
        </is>
      </c>
      <c r="C199" s="5" t="inlineStr">
        <is>
          <t>RF-16</t>
        </is>
      </c>
      <c r="D199" s="5" t="inlineStr">
        <is>
          <t>Actualización del perfil</t>
        </is>
      </c>
      <c r="E199" s="5" t="inlineStr">
        <is>
          <t>Vitest backend · unitaria</t>
        </is>
      </c>
      <c r="F199" s="5" t="inlineStr">
        <is>
          <t>VT-ProfileController.test</t>
        </is>
      </c>
      <c r="G199" s="5" t="inlineStr">
        <is>
          <t>ProfileController.test.ts (8 pruebas)</t>
        </is>
      </c>
      <c r="H199" s="5" t="inlineStr">
        <is>
          <t>Unitaria / Integración</t>
        </is>
      </c>
      <c r="I199" s="5" t="inlineStr">
        <is>
          <t>Funcional</t>
        </is>
      </c>
      <c r="J199" s="5" t="inlineStr">
        <is>
          <t>Vitest backend</t>
        </is>
      </c>
      <c r="K199" s="5" t="inlineStr">
        <is>
          <t>backend/src/tests/unit/auth/ProfileController.test.ts</t>
        </is>
      </c>
      <c r="L199" s="5" t="inlineStr">
        <is>
          <t>Todas las pruebas del archivo pasan</t>
        </is>
      </c>
      <c r="M199" s="5" t="inlineStr">
        <is>
          <t>8/8 pasan</t>
        </is>
      </c>
      <c r="N199" s="7" t="inlineStr">
        <is>
          <t>Aprobado</t>
        </is>
      </c>
      <c r="O199" s="5" t="inlineStr">
        <is>
          <t>2026-10-27</t>
        </is>
      </c>
      <c r="P199" s="5" t="inlineStr">
        <is>
          <t>docs/evidencia-final-equipo/vitest-backend.json</t>
        </is>
      </c>
      <c r="Q199" s="5" t="inlineStr">
        <is>
          <t>-</t>
        </is>
      </c>
    </row>
    <row r="200">
      <c r="A200" s="5" t="inlineStr">
        <is>
          <t>Tomás Henao</t>
        </is>
      </c>
      <c r="B200" s="5" t="inlineStr">
        <is>
          <t>Usuarios</t>
        </is>
      </c>
      <c r="C200" s="5" t="inlineStr">
        <is>
          <t>RF-16</t>
        </is>
      </c>
      <c r="D200" s="5" t="inlineStr">
        <is>
          <t>Actualización del perfil</t>
        </is>
      </c>
      <c r="E200" s="5" t="inlineStr">
        <is>
          <t>Vitest backend · unitaria</t>
        </is>
      </c>
      <c r="F200" s="5" t="inlineStr">
        <is>
          <t>VT-profile-update.backend.test</t>
        </is>
      </c>
      <c r="G200" s="5" t="inlineStr">
        <is>
          <t>profile-update.backend.test.ts (7 pruebas)</t>
        </is>
      </c>
      <c r="H200" s="5" t="inlineStr">
        <is>
          <t>Unitaria / Integración</t>
        </is>
      </c>
      <c r="I200" s="5" t="inlineStr">
        <is>
          <t>Funcional</t>
        </is>
      </c>
      <c r="J200" s="5" t="inlineStr">
        <is>
          <t>Vitest backend</t>
        </is>
      </c>
      <c r="K200" s="5" t="inlineStr">
        <is>
          <t>backend/src/tests/profile/profile-update.backend.test.ts</t>
        </is>
      </c>
      <c r="L200" s="5" t="inlineStr">
        <is>
          <t>Todas las pruebas del archivo pasan</t>
        </is>
      </c>
      <c r="M200" s="5" t="inlineStr">
        <is>
          <t>7/7 pasan</t>
        </is>
      </c>
      <c r="N200" s="7" t="inlineStr">
        <is>
          <t>Aprobado</t>
        </is>
      </c>
      <c r="O200" s="5" t="inlineStr">
        <is>
          <t>2026-10-27</t>
        </is>
      </c>
      <c r="P200" s="5" t="inlineStr">
        <is>
          <t>docs/evidencia-final-equipo/vitest-backend.json</t>
        </is>
      </c>
      <c r="Q200" s="5" t="inlineStr">
        <is>
          <t>-</t>
        </is>
      </c>
    </row>
    <row r="201">
      <c r="A201" s="5" t="inlineStr">
        <is>
          <t>Tomás Henao</t>
        </is>
      </c>
      <c r="B201" s="5" t="inlineStr">
        <is>
          <t>Usuarios</t>
        </is>
      </c>
      <c r="C201" s="5" t="inlineStr">
        <is>
          <t>RF-16</t>
        </is>
      </c>
      <c r="D201" s="5" t="inlineStr">
        <is>
          <t>Actualización del perfil</t>
        </is>
      </c>
      <c r="E201" s="5" t="inlineStr">
        <is>
          <t>Vitest backend · API</t>
        </is>
      </c>
      <c r="F201" s="5" t="inlineStr">
        <is>
          <t>VT-profile.api.test</t>
        </is>
      </c>
      <c r="G201" s="5" t="inlineStr">
        <is>
          <t>profile.api.test.ts (2 pruebas)</t>
        </is>
      </c>
      <c r="H201" s="5" t="inlineStr">
        <is>
          <t>Unitaria / Integración</t>
        </is>
      </c>
      <c r="I201" s="5" t="inlineStr">
        <is>
          <t>Funcional</t>
        </is>
      </c>
      <c r="J201" s="5" t="inlineStr">
        <is>
          <t>Vitest backend</t>
        </is>
      </c>
      <c r="K201" s="5" t="inlineStr">
        <is>
          <t>backend/src/tests/api/profile.api.test.ts</t>
        </is>
      </c>
      <c r="L201" s="5" t="inlineStr">
        <is>
          <t>Todas las pruebas del archivo pasan</t>
        </is>
      </c>
      <c r="M201" s="5" t="inlineStr">
        <is>
          <t>2/2 pasan</t>
        </is>
      </c>
      <c r="N201" s="7" t="inlineStr">
        <is>
          <t>Aprobado</t>
        </is>
      </c>
      <c r="O201" s="5" t="inlineStr">
        <is>
          <t>2026-10-27</t>
        </is>
      </c>
      <c r="P201" s="5" t="inlineStr">
        <is>
          <t>docs/evidencia-final-equipo/vitest-backend.json</t>
        </is>
      </c>
      <c r="Q201" s="5" t="inlineStr">
        <is>
          <t>-</t>
        </is>
      </c>
    </row>
    <row r="202">
      <c r="A202" s="5" t="inlineStr">
        <is>
          <t>Tomás Henao</t>
        </is>
      </c>
      <c r="B202" s="5" t="inlineStr">
        <is>
          <t>Usuarios</t>
        </is>
      </c>
      <c r="C202" s="5" t="inlineStr">
        <is>
          <t>RF-16</t>
        </is>
      </c>
      <c r="D202" s="5" t="inlineStr">
        <is>
          <t>Actualización del perfil</t>
        </is>
      </c>
      <c r="E202" s="5" t="inlineStr">
        <is>
          <t>Vitest backend · regresión</t>
        </is>
      </c>
      <c r="F202" s="5" t="inlineStr">
        <is>
          <t>VT-profile.regression.test</t>
        </is>
      </c>
      <c r="G202" s="5" t="inlineStr">
        <is>
          <t>profile.regression.test.ts (2 pruebas)</t>
        </is>
      </c>
      <c r="H202" s="5" t="inlineStr">
        <is>
          <t>Unitaria / Integración</t>
        </is>
      </c>
      <c r="I202" s="5" t="inlineStr">
        <is>
          <t>Funcional</t>
        </is>
      </c>
      <c r="J202" s="5" t="inlineStr">
        <is>
          <t>Vitest backend</t>
        </is>
      </c>
      <c r="K202" s="5" t="inlineStr">
        <is>
          <t>backend/src/tests/regression/profile.regression.test.ts</t>
        </is>
      </c>
      <c r="L202" s="5" t="inlineStr">
        <is>
          <t>Todas las pruebas del archivo pasan</t>
        </is>
      </c>
      <c r="M202" s="5" t="inlineStr">
        <is>
          <t>2/2 pasan</t>
        </is>
      </c>
      <c r="N202" s="7" t="inlineStr">
        <is>
          <t>Aprobado</t>
        </is>
      </c>
      <c r="O202" s="5" t="inlineStr">
        <is>
          <t>2026-10-27</t>
        </is>
      </c>
      <c r="P202" s="5" t="inlineStr">
        <is>
          <t>docs/evidencia-final-equipo/vitest-backend.json</t>
        </is>
      </c>
      <c r="Q202" s="5" t="inlineStr">
        <is>
          <t>-</t>
        </is>
      </c>
    </row>
    <row r="203">
      <c r="A203" s="5" t="inlineStr">
        <is>
          <t>Tomás Henao</t>
        </is>
      </c>
      <c r="B203" s="5" t="inlineStr">
        <is>
          <t>Usuarios</t>
        </is>
      </c>
      <c r="C203" s="5" t="inlineStr">
        <is>
          <t>RF-16</t>
        </is>
      </c>
      <c r="D203" s="5" t="inlineStr">
        <is>
          <t>Actualización del perfil</t>
        </is>
      </c>
      <c r="E203" s="5" t="inlineStr">
        <is>
          <t>Vitest backend · seguridad</t>
        </is>
      </c>
      <c r="F203" s="5" t="inlineStr">
        <is>
          <t>VT-profile.security.test</t>
        </is>
      </c>
      <c r="G203" s="5" t="inlineStr">
        <is>
          <t>profile.security.test.ts (3 pruebas)</t>
        </is>
      </c>
      <c r="H203" s="5" t="inlineStr">
        <is>
          <t>Unitaria / Integración</t>
        </is>
      </c>
      <c r="I203" s="5" t="inlineStr">
        <is>
          <t>Seguridad</t>
        </is>
      </c>
      <c r="J203" s="5" t="inlineStr">
        <is>
          <t>Vitest backend</t>
        </is>
      </c>
      <c r="K203" s="5" t="inlineStr">
        <is>
          <t>backend/src/tests/security/profile.security.test.ts</t>
        </is>
      </c>
      <c r="L203" s="5" t="inlineStr">
        <is>
          <t>Todas las pruebas del archivo pasan</t>
        </is>
      </c>
      <c r="M203" s="5" t="inlineStr">
        <is>
          <t>3/3 pasan</t>
        </is>
      </c>
      <c r="N203" s="7" t="inlineStr">
        <is>
          <t>Aprobado</t>
        </is>
      </c>
      <c r="O203" s="5" t="inlineStr">
        <is>
          <t>2026-10-27</t>
        </is>
      </c>
      <c r="P203" s="5" t="inlineStr">
        <is>
          <t>docs/evidencia-final-equipo/vitest-backend.json</t>
        </is>
      </c>
      <c r="Q203" s="5" t="inlineStr">
        <is>
          <t>-</t>
        </is>
      </c>
    </row>
    <row r="204">
      <c r="A204" s="5" t="inlineStr">
        <is>
          <t>Tomás Henao</t>
        </is>
      </c>
      <c r="B204" s="5" t="inlineStr">
        <is>
          <t>Usuarios</t>
        </is>
      </c>
      <c r="C204" s="5" t="inlineStr">
        <is>
          <t>RF-16</t>
        </is>
      </c>
      <c r="D204" s="5" t="inlineStr">
        <is>
          <t>Actualización del perfil</t>
        </is>
      </c>
      <c r="E204" s="5" t="inlineStr">
        <is>
          <t>Vitest backend · unitaria</t>
        </is>
      </c>
      <c r="F204" s="5" t="inlineStr">
        <is>
          <t>VT-profile.validators.test</t>
        </is>
      </c>
      <c r="G204" s="5" t="inlineStr">
        <is>
          <t>profile.validators.test.ts (27 pruebas)</t>
        </is>
      </c>
      <c r="H204" s="5" t="inlineStr">
        <is>
          <t>Unitaria / Integración</t>
        </is>
      </c>
      <c r="I204" s="5" t="inlineStr">
        <is>
          <t>Funcional</t>
        </is>
      </c>
      <c r="J204" s="5" t="inlineStr">
        <is>
          <t>Vitest backend</t>
        </is>
      </c>
      <c r="K204" s="5" t="inlineStr">
        <is>
          <t>backend/src/tests/unit/profile/profile.validators.test.ts</t>
        </is>
      </c>
      <c r="L204" s="5" t="inlineStr">
        <is>
          <t>Todas las pruebas del archivo pasan</t>
        </is>
      </c>
      <c r="M204" s="5" t="inlineStr">
        <is>
          <t>27/27 pasan</t>
        </is>
      </c>
      <c r="N204" s="7" t="inlineStr">
        <is>
          <t>Aprobado</t>
        </is>
      </c>
      <c r="O204" s="5" t="inlineStr">
        <is>
          <t>2026-10-27</t>
        </is>
      </c>
      <c r="P204" s="5" t="inlineStr">
        <is>
          <t>docs/evidencia-final-equipo/vitest-backend.json</t>
        </is>
      </c>
      <c r="Q204" s="5" t="inlineStr">
        <is>
          <t>-</t>
        </is>
      </c>
    </row>
    <row r="205">
      <c r="A205" s="5" t="inlineStr">
        <is>
          <t>Tomás Henao</t>
        </is>
      </c>
      <c r="B205" s="5" t="inlineStr">
        <is>
          <t>Usuarios</t>
        </is>
      </c>
      <c r="C205" s="5" t="inlineStr">
        <is>
          <t>RF-16</t>
        </is>
      </c>
      <c r="D205" s="5" t="inlineStr">
        <is>
          <t>Actualización del perfil</t>
        </is>
      </c>
      <c r="E205" s="5" t="inlineStr">
        <is>
          <t>Vitest backend · unitaria</t>
        </is>
      </c>
      <c r="F205" s="5" t="inlineStr">
        <is>
          <t>VT-profileUseCases.test</t>
        </is>
      </c>
      <c r="G205" s="5" t="inlineStr">
        <is>
          <t>profileUseCases.test.ts (9 pruebas)</t>
        </is>
      </c>
      <c r="H205" s="5" t="inlineStr">
        <is>
          <t>Unitaria / Integración</t>
        </is>
      </c>
      <c r="I205" s="5" t="inlineStr">
        <is>
          <t>Funcional</t>
        </is>
      </c>
      <c r="J205" s="5" t="inlineStr">
        <is>
          <t>Vitest backend</t>
        </is>
      </c>
      <c r="K205" s="5" t="inlineStr">
        <is>
          <t>backend/src/tests/unit/auth/profileUseCases.test.ts</t>
        </is>
      </c>
      <c r="L205" s="5" t="inlineStr">
        <is>
          <t>Todas las pruebas del archivo pasan</t>
        </is>
      </c>
      <c r="M205" s="5" t="inlineStr">
        <is>
          <t>9/9 pasan</t>
        </is>
      </c>
      <c r="N205" s="7" t="inlineStr">
        <is>
          <t>Aprobado</t>
        </is>
      </c>
      <c r="O205" s="5" t="inlineStr">
        <is>
          <t>2026-10-27</t>
        </is>
      </c>
      <c r="P205" s="5" t="inlineStr">
        <is>
          <t>docs/evidencia-final-equipo/vitest-backend.json</t>
        </is>
      </c>
      <c r="Q205" s="5" t="inlineStr">
        <is>
          <t>-</t>
        </is>
      </c>
    </row>
    <row r="206">
      <c r="A206" s="5" t="inlineStr">
        <is>
          <t>Tomás Henao</t>
        </is>
      </c>
      <c r="B206" s="5" t="inlineStr">
        <is>
          <t>Usuarios</t>
        </is>
      </c>
      <c r="C206" s="5" t="inlineStr">
        <is>
          <t>RF-16</t>
        </is>
      </c>
      <c r="D206" s="5" t="inlineStr">
        <is>
          <t>Actualización del perfil</t>
        </is>
      </c>
      <c r="E206" s="5" t="inlineStr">
        <is>
          <t>Vitest frontend · unitaria</t>
        </is>
      </c>
      <c r="F206" s="5" t="inlineStr">
        <is>
          <t>VT-AvatarPicker.test</t>
        </is>
      </c>
      <c r="G206" s="5" t="inlineStr">
        <is>
          <t>AvatarPicker.test.tsx (2 pruebas)</t>
        </is>
      </c>
      <c r="H206" s="5" t="inlineStr">
        <is>
          <t>Unitaria / Integración</t>
        </is>
      </c>
      <c r="I206" s="5" t="inlineStr">
        <is>
          <t>Funcional</t>
        </is>
      </c>
      <c r="J206" s="5" t="inlineStr">
        <is>
          <t>Vitest frontend</t>
        </is>
      </c>
      <c r="K206" s="5" t="inlineStr">
        <is>
          <t>frontend/src/tests/unit/profile/AvatarPicker.test.tsx</t>
        </is>
      </c>
      <c r="L206" s="5" t="inlineStr">
        <is>
          <t>Todas las pruebas del archivo pasan</t>
        </is>
      </c>
      <c r="M206" s="5" t="inlineStr">
        <is>
          <t>2/2 pasan</t>
        </is>
      </c>
      <c r="N206" s="7" t="inlineStr">
        <is>
          <t>Aprobado</t>
        </is>
      </c>
      <c r="O206" s="5" t="inlineStr">
        <is>
          <t>2026-10-27</t>
        </is>
      </c>
      <c r="P206" s="5" t="inlineStr">
        <is>
          <t>docs/evidencia-final-equipo/vitest-frontend.json</t>
        </is>
      </c>
      <c r="Q206" s="5" t="inlineStr">
        <is>
          <t>-</t>
        </is>
      </c>
    </row>
    <row r="207">
      <c r="A207" s="5" t="inlineStr">
        <is>
          <t>Tomás Henao</t>
        </is>
      </c>
      <c r="B207" s="5" t="inlineStr">
        <is>
          <t>Usuarios</t>
        </is>
      </c>
      <c r="C207" s="5" t="inlineStr">
        <is>
          <t>RF-16</t>
        </is>
      </c>
      <c r="D207" s="5" t="inlineStr">
        <is>
          <t>Actualización del perfil</t>
        </is>
      </c>
      <c r="E207" s="5" t="inlineStr">
        <is>
          <t>Vitest frontend · unitaria</t>
        </is>
      </c>
      <c r="F207" s="5" t="inlineStr">
        <is>
          <t>VT-ProfileEditForm.test</t>
        </is>
      </c>
      <c r="G207" s="5" t="inlineStr">
        <is>
          <t>ProfileEditForm.test.tsx (11 pruebas)</t>
        </is>
      </c>
      <c r="H207" s="5" t="inlineStr">
        <is>
          <t>Unitaria / Integración</t>
        </is>
      </c>
      <c r="I207" s="5" t="inlineStr">
        <is>
          <t>Funcional</t>
        </is>
      </c>
      <c r="J207" s="5" t="inlineStr">
        <is>
          <t>Vitest frontend</t>
        </is>
      </c>
      <c r="K207" s="5" t="inlineStr">
        <is>
          <t>frontend/src/tests/unit/components/ProfileEditForm.test.tsx</t>
        </is>
      </c>
      <c r="L207" s="5" t="inlineStr">
        <is>
          <t>Todas las pruebas del archivo pasan</t>
        </is>
      </c>
      <c r="M207" s="5" t="inlineStr">
        <is>
          <t>11/11 pasan</t>
        </is>
      </c>
      <c r="N207" s="7" t="inlineStr">
        <is>
          <t>Aprobado</t>
        </is>
      </c>
      <c r="O207" s="5" t="inlineStr">
        <is>
          <t>2026-10-27</t>
        </is>
      </c>
      <c r="P207" s="5" t="inlineStr">
        <is>
          <t>docs/evidencia-final-equipo/vitest-frontend.json</t>
        </is>
      </c>
      <c r="Q207" s="5" t="inlineStr">
        <is>
          <t>-</t>
        </is>
      </c>
    </row>
    <row r="208">
      <c r="A208" s="5" t="inlineStr">
        <is>
          <t>Tomás Henao</t>
        </is>
      </c>
      <c r="B208" s="5" t="inlineStr">
        <is>
          <t>Usuarios</t>
        </is>
      </c>
      <c r="C208" s="5" t="inlineStr">
        <is>
          <t>RF-16</t>
        </is>
      </c>
      <c r="D208" s="5" t="inlineStr">
        <is>
          <t>Actualización del perfil</t>
        </is>
      </c>
      <c r="E208" s="5" t="inlineStr">
        <is>
          <t>Vitest frontend · unitaria</t>
        </is>
      </c>
      <c r="F208" s="5" t="inlineStr">
        <is>
          <t>VT-ProfileEditForm.test</t>
        </is>
      </c>
      <c r="G208" s="5" t="inlineStr">
        <is>
          <t>ProfileEditForm.test.tsx (11 pruebas)</t>
        </is>
      </c>
      <c r="H208" s="5" t="inlineStr">
        <is>
          <t>Unitaria / Integración</t>
        </is>
      </c>
      <c r="I208" s="5" t="inlineStr">
        <is>
          <t>Funcional</t>
        </is>
      </c>
      <c r="J208" s="5" t="inlineStr">
        <is>
          <t>Vitest frontend</t>
        </is>
      </c>
      <c r="K208" s="5" t="inlineStr">
        <is>
          <t>frontend/src/tests/unit/profile/ProfileEditForm.test.tsx</t>
        </is>
      </c>
      <c r="L208" s="5" t="inlineStr">
        <is>
          <t>Todas las pruebas del archivo pasan</t>
        </is>
      </c>
      <c r="M208" s="5" t="inlineStr">
        <is>
          <t>11/11 pasan</t>
        </is>
      </c>
      <c r="N208" s="7" t="inlineStr">
        <is>
          <t>Aprobado</t>
        </is>
      </c>
      <c r="O208" s="5" t="inlineStr">
        <is>
          <t>2026-10-27</t>
        </is>
      </c>
      <c r="P208" s="5" t="inlineStr">
        <is>
          <t>docs/evidencia-final-equipo/vitest-frontend.json</t>
        </is>
      </c>
      <c r="Q208" s="5" t="inlineStr">
        <is>
          <t>-</t>
        </is>
      </c>
    </row>
    <row r="209">
      <c r="A209" s="5" t="inlineStr">
        <is>
          <t>Tomás Henao</t>
        </is>
      </c>
      <c r="B209" s="5" t="inlineStr">
        <is>
          <t>Usuarios</t>
        </is>
      </c>
      <c r="C209" s="5" t="inlineStr">
        <is>
          <t>RF-16</t>
        </is>
      </c>
      <c r="D209" s="5" t="inlineStr">
        <is>
          <t>Actualización del perfil</t>
        </is>
      </c>
      <c r="E209" s="5" t="inlineStr">
        <is>
          <t>Vitest frontend · unitaria</t>
        </is>
      </c>
      <c r="F209" s="5" t="inlineStr">
        <is>
          <t>VT-profile.schemas.test</t>
        </is>
      </c>
      <c r="G209" s="5" t="inlineStr">
        <is>
          <t>profile.schemas.test.ts (3 pruebas)</t>
        </is>
      </c>
      <c r="H209" s="5" t="inlineStr">
        <is>
          <t>Unitaria / Integración</t>
        </is>
      </c>
      <c r="I209" s="5" t="inlineStr">
        <is>
          <t>Funcional</t>
        </is>
      </c>
      <c r="J209" s="5" t="inlineStr">
        <is>
          <t>Vitest frontend</t>
        </is>
      </c>
      <c r="K209" s="5" t="inlineStr">
        <is>
          <t>frontend/src/tests/unit/profile/profile.schemas.test.ts</t>
        </is>
      </c>
      <c r="L209" s="5" t="inlineStr">
        <is>
          <t>Todas las pruebas del archivo pasan</t>
        </is>
      </c>
      <c r="M209" s="5" t="inlineStr">
        <is>
          <t>3/3 pasan</t>
        </is>
      </c>
      <c r="N209" s="7" t="inlineStr">
        <is>
          <t>Aprobado</t>
        </is>
      </c>
      <c r="O209" s="5" t="inlineStr">
        <is>
          <t>2026-10-27</t>
        </is>
      </c>
      <c r="P209" s="5" t="inlineStr">
        <is>
          <t>docs/evidencia-final-equipo/vitest-frontend.json</t>
        </is>
      </c>
      <c r="Q209" s="5" t="inlineStr">
        <is>
          <t>-</t>
        </is>
      </c>
    </row>
    <row r="210">
      <c r="A210" s="5" t="inlineStr">
        <is>
          <t>Tomás Henao</t>
        </is>
      </c>
      <c r="B210" s="5" t="inlineStr">
        <is>
          <t>Usuarios</t>
        </is>
      </c>
      <c r="C210" s="5" t="inlineStr">
        <is>
          <t>RF-16</t>
        </is>
      </c>
      <c r="D210" s="5" t="inlineStr">
        <is>
          <t>Actualización del perfil</t>
        </is>
      </c>
      <c r="E210" s="5" t="inlineStr">
        <is>
          <t>Vitest frontend · unitaria</t>
        </is>
      </c>
      <c r="F210" s="5" t="inlineStr">
        <is>
          <t>VT-profile.schemas.test</t>
        </is>
      </c>
      <c r="G210" s="5" t="inlineStr">
        <is>
          <t>profile.schemas.test.ts (3 pruebas)</t>
        </is>
      </c>
      <c r="H210" s="5" t="inlineStr">
        <is>
          <t>Unitaria / Integración</t>
        </is>
      </c>
      <c r="I210" s="5" t="inlineStr">
        <is>
          <t>Funcional</t>
        </is>
      </c>
      <c r="J210" s="5" t="inlineStr">
        <is>
          <t>Vitest frontend</t>
        </is>
      </c>
      <c r="K210" s="5" t="inlineStr">
        <is>
          <t>frontend/src/tests/unit/schemas/profile.schemas.test.ts</t>
        </is>
      </c>
      <c r="L210" s="5" t="inlineStr">
        <is>
          <t>Todas las pruebas del archivo pasan</t>
        </is>
      </c>
      <c r="M210" s="5" t="inlineStr">
        <is>
          <t>3/3 pasan</t>
        </is>
      </c>
      <c r="N210" s="7" t="inlineStr">
        <is>
          <t>Aprobado</t>
        </is>
      </c>
      <c r="O210" s="5" t="inlineStr">
        <is>
          <t>2026-10-27</t>
        </is>
      </c>
      <c r="P210" s="5" t="inlineStr">
        <is>
          <t>docs/evidencia-final-equipo/vitest-frontend.json</t>
        </is>
      </c>
      <c r="Q210" s="5" t="inlineStr">
        <is>
          <t>-</t>
        </is>
      </c>
    </row>
    <row r="211">
      <c r="A211" s="5" t="inlineStr">
        <is>
          <t>Tomás Henao</t>
        </is>
      </c>
      <c r="B211" s="5" t="inlineStr">
        <is>
          <t>Usuarios</t>
        </is>
      </c>
      <c r="C211" s="5" t="inlineStr">
        <is>
          <t>RF-16</t>
        </is>
      </c>
      <c r="D211" s="5" t="inlineStr">
        <is>
          <t>Actualización del perfil</t>
        </is>
      </c>
      <c r="E211" s="5" t="inlineStr">
        <is>
          <t>Vitest frontend · unitaria</t>
        </is>
      </c>
      <c r="F211" s="5" t="inlineStr">
        <is>
          <t>VT-profile.service.test</t>
        </is>
      </c>
      <c r="G211" s="5" t="inlineStr">
        <is>
          <t>profile.service.test.ts (4 pruebas)</t>
        </is>
      </c>
      <c r="H211" s="5" t="inlineStr">
        <is>
          <t>Unitaria / Integración</t>
        </is>
      </c>
      <c r="I211" s="5" t="inlineStr">
        <is>
          <t>Funcional</t>
        </is>
      </c>
      <c r="J211" s="5" t="inlineStr">
        <is>
          <t>Vitest frontend</t>
        </is>
      </c>
      <c r="K211" s="5" t="inlineStr">
        <is>
          <t>frontend/src/tests/unit/profile/profile.service.test.ts</t>
        </is>
      </c>
      <c r="L211" s="5" t="inlineStr">
        <is>
          <t>Todas las pruebas del archivo pasan</t>
        </is>
      </c>
      <c r="M211" s="5" t="inlineStr">
        <is>
          <t>4/4 pasan</t>
        </is>
      </c>
      <c r="N211" s="7" t="inlineStr">
        <is>
          <t>Aprobado</t>
        </is>
      </c>
      <c r="O211" s="5" t="inlineStr">
        <is>
          <t>2026-10-27</t>
        </is>
      </c>
      <c r="P211" s="5" t="inlineStr">
        <is>
          <t>docs/evidencia-final-equipo/vitest-frontend.json</t>
        </is>
      </c>
      <c r="Q211" s="5" t="inlineStr">
        <is>
          <t>-</t>
        </is>
      </c>
    </row>
    <row r="212">
      <c r="A212" s="5" t="inlineStr">
        <is>
          <t>Tomás Henao</t>
        </is>
      </c>
      <c r="B212" s="5" t="inlineStr">
        <is>
          <t>Usuarios</t>
        </is>
      </c>
      <c r="C212" s="5" t="inlineStr">
        <is>
          <t>RF-16</t>
        </is>
      </c>
      <c r="D212" s="5" t="inlineStr">
        <is>
          <t>Actualización del perfil</t>
        </is>
      </c>
      <c r="E212" s="5" t="inlineStr">
        <is>
          <t>Vitest frontend · unitaria</t>
        </is>
      </c>
      <c r="F212" s="5" t="inlineStr">
        <is>
          <t>VT-profile.service.test</t>
        </is>
      </c>
      <c r="G212" s="5" t="inlineStr">
        <is>
          <t>profile.service.test.ts (4 pruebas)</t>
        </is>
      </c>
      <c r="H212" s="5" t="inlineStr">
        <is>
          <t>Unitaria / Integración</t>
        </is>
      </c>
      <c r="I212" s="5" t="inlineStr">
        <is>
          <t>Funcional</t>
        </is>
      </c>
      <c r="J212" s="5" t="inlineStr">
        <is>
          <t>Vitest frontend</t>
        </is>
      </c>
      <c r="K212" s="5" t="inlineStr">
        <is>
          <t>frontend/src/tests/unit/services/profile.service.test.ts</t>
        </is>
      </c>
      <c r="L212" s="5" t="inlineStr">
        <is>
          <t>Todas las pruebas del archivo pasan</t>
        </is>
      </c>
      <c r="M212" s="5" t="inlineStr">
        <is>
          <t>4/4 pasan</t>
        </is>
      </c>
      <c r="N212" s="7" t="inlineStr">
        <is>
          <t>Aprobado</t>
        </is>
      </c>
      <c r="O212" s="5" t="inlineStr">
        <is>
          <t>2026-10-27</t>
        </is>
      </c>
      <c r="P212" s="5" t="inlineStr">
        <is>
          <t>docs/evidencia-final-equipo/vitest-frontend.json</t>
        </is>
      </c>
      <c r="Q212" s="5" t="inlineStr">
        <is>
          <t>-</t>
        </is>
      </c>
    </row>
    <row r="213">
      <c r="A213" s="5" t="inlineStr">
        <is>
          <t>Tomás Henao</t>
        </is>
      </c>
      <c r="B213" s="5" t="inlineStr">
        <is>
          <t>Usuarios</t>
        </is>
      </c>
      <c r="C213" s="5" t="inlineStr">
        <is>
          <t>RF-16</t>
        </is>
      </c>
      <c r="D213" s="5" t="inlineStr">
        <is>
          <t>Actualización del perfil</t>
        </is>
      </c>
      <c r="E213" s="5" t="inlineStr">
        <is>
          <t>Vitest frontend · unitaria</t>
        </is>
      </c>
      <c r="F213" s="5" t="inlineStr">
        <is>
          <t>VT-useProfile.test</t>
        </is>
      </c>
      <c r="G213" s="5" t="inlineStr">
        <is>
          <t>useProfile.test.ts (3 pruebas)</t>
        </is>
      </c>
      <c r="H213" s="5" t="inlineStr">
        <is>
          <t>Unitaria / Integración</t>
        </is>
      </c>
      <c r="I213" s="5" t="inlineStr">
        <is>
          <t>Funcional</t>
        </is>
      </c>
      <c r="J213" s="5" t="inlineStr">
        <is>
          <t>Vitest frontend</t>
        </is>
      </c>
      <c r="K213" s="5" t="inlineStr">
        <is>
          <t>frontend/src/tests/unit/hooks/useProfile.test.ts</t>
        </is>
      </c>
      <c r="L213" s="5" t="inlineStr">
        <is>
          <t>Todas las pruebas del archivo pasan</t>
        </is>
      </c>
      <c r="M213" s="5" t="inlineStr">
        <is>
          <t>3/3 pasan</t>
        </is>
      </c>
      <c r="N213" s="7" t="inlineStr">
        <is>
          <t>Aprobado</t>
        </is>
      </c>
      <c r="O213" s="5" t="inlineStr">
        <is>
          <t>2026-10-27</t>
        </is>
      </c>
      <c r="P213" s="5" t="inlineStr">
        <is>
          <t>docs/evidencia-final-equipo/vitest-frontend.json</t>
        </is>
      </c>
      <c r="Q213" s="5" t="inlineStr">
        <is>
          <t>-</t>
        </is>
      </c>
    </row>
    <row r="214">
      <c r="A214" s="5" t="inlineStr">
        <is>
          <t>Tomás Henao</t>
        </is>
      </c>
      <c r="B214" s="5" t="inlineStr">
        <is>
          <t>Usuarios</t>
        </is>
      </c>
      <c r="C214" s="5" t="inlineStr">
        <is>
          <t>RF-16</t>
        </is>
      </c>
      <c r="D214" s="5" t="inlineStr">
        <is>
          <t>Actualización del perfil</t>
        </is>
      </c>
      <c r="E214" s="5" t="inlineStr">
        <is>
          <t>Vitest frontend · unitaria</t>
        </is>
      </c>
      <c r="F214" s="5" t="inlineStr">
        <is>
          <t>VT-useProfile.test</t>
        </is>
      </c>
      <c r="G214" s="5" t="inlineStr">
        <is>
          <t>useProfile.test.ts (3 pruebas)</t>
        </is>
      </c>
      <c r="H214" s="5" t="inlineStr">
        <is>
          <t>Unitaria / Integración</t>
        </is>
      </c>
      <c r="I214" s="5" t="inlineStr">
        <is>
          <t>Funcional</t>
        </is>
      </c>
      <c r="J214" s="5" t="inlineStr">
        <is>
          <t>Vitest frontend</t>
        </is>
      </c>
      <c r="K214" s="5" t="inlineStr">
        <is>
          <t>frontend/src/tests/unit/profile/useProfile.test.ts</t>
        </is>
      </c>
      <c r="L214" s="5" t="inlineStr">
        <is>
          <t>Todas las pruebas del archivo pasan</t>
        </is>
      </c>
      <c r="M214" s="5" t="inlineStr">
        <is>
          <t>3/3 pasan</t>
        </is>
      </c>
      <c r="N214" s="7" t="inlineStr">
        <is>
          <t>Aprobado</t>
        </is>
      </c>
      <c r="O214" s="5" t="inlineStr">
        <is>
          <t>2026-10-27</t>
        </is>
      </c>
      <c r="P214" s="5" t="inlineStr">
        <is>
          <t>docs/evidencia-final-equipo/vitest-frontend.json</t>
        </is>
      </c>
      <c r="Q214" s="5" t="inlineStr">
        <is>
          <t>-</t>
        </is>
      </c>
    </row>
    <row r="215">
      <c r="A215" s="5" t="inlineStr">
        <is>
          <t>Tomás Henao</t>
        </is>
      </c>
      <c r="B215" s="5" t="inlineStr">
        <is>
          <t>Usuarios</t>
        </is>
      </c>
      <c r="C215" s="5" t="inlineStr">
        <is>
          <t>RF-16</t>
        </is>
      </c>
      <c r="D215" s="5" t="inlineStr">
        <is>
          <t>Actualización del perfil</t>
        </is>
      </c>
      <c r="E215" s="5" t="inlineStr">
        <is>
          <t>Vitest frontend · unitaria</t>
        </is>
      </c>
      <c r="F215" s="5" t="inlineStr">
        <is>
          <t>VT-useUpdateProfile.test</t>
        </is>
      </c>
      <c r="G215" s="5" t="inlineStr">
        <is>
          <t>useUpdateProfile.test.ts (3 pruebas)</t>
        </is>
      </c>
      <c r="H215" s="5" t="inlineStr">
        <is>
          <t>Unitaria / Integración</t>
        </is>
      </c>
      <c r="I215" s="5" t="inlineStr">
        <is>
          <t>Funcional</t>
        </is>
      </c>
      <c r="J215" s="5" t="inlineStr">
        <is>
          <t>Vitest frontend</t>
        </is>
      </c>
      <c r="K215" s="5" t="inlineStr">
        <is>
          <t>frontend/src/tests/unit/hooks/useUpdateProfile.test.ts</t>
        </is>
      </c>
      <c r="L215" s="5" t="inlineStr">
        <is>
          <t>Todas las pruebas del archivo pasan</t>
        </is>
      </c>
      <c r="M215" s="5" t="inlineStr">
        <is>
          <t>3/3 pasan</t>
        </is>
      </c>
      <c r="N215" s="7" t="inlineStr">
        <is>
          <t>Aprobado</t>
        </is>
      </c>
      <c r="O215" s="5" t="inlineStr">
        <is>
          <t>2026-10-27</t>
        </is>
      </c>
      <c r="P215" s="5" t="inlineStr">
        <is>
          <t>docs/evidencia-final-equipo/vitest-frontend.json</t>
        </is>
      </c>
      <c r="Q215" s="5" t="inlineStr">
        <is>
          <t>-</t>
        </is>
      </c>
    </row>
    <row r="216">
      <c r="A216" s="5" t="inlineStr">
        <is>
          <t>Tomás Henao</t>
        </is>
      </c>
      <c r="B216" s="5" t="inlineStr">
        <is>
          <t>Usuarios</t>
        </is>
      </c>
      <c r="C216" s="5" t="inlineStr">
        <is>
          <t>RF-16</t>
        </is>
      </c>
      <c r="D216" s="5" t="inlineStr">
        <is>
          <t>Actualización del perfil</t>
        </is>
      </c>
      <c r="E216" s="5" t="inlineStr">
        <is>
          <t>Vitest frontend · unitaria</t>
        </is>
      </c>
      <c r="F216" s="5" t="inlineStr">
        <is>
          <t>VT-useUpdateProfile.test</t>
        </is>
      </c>
      <c r="G216" s="5" t="inlineStr">
        <is>
          <t>useUpdateProfile.test.ts (3 pruebas)</t>
        </is>
      </c>
      <c r="H216" s="5" t="inlineStr">
        <is>
          <t>Unitaria / Integración</t>
        </is>
      </c>
      <c r="I216" s="5" t="inlineStr">
        <is>
          <t>Funcional</t>
        </is>
      </c>
      <c r="J216" s="5" t="inlineStr">
        <is>
          <t>Vitest frontend</t>
        </is>
      </c>
      <c r="K216" s="5" t="inlineStr">
        <is>
          <t>frontend/src/tests/unit/profile/useUpdateProfile.test.ts</t>
        </is>
      </c>
      <c r="L216" s="5" t="inlineStr">
        <is>
          <t>Todas las pruebas del archivo pasan</t>
        </is>
      </c>
      <c r="M216" s="5" t="inlineStr">
        <is>
          <t>3/3 pasan</t>
        </is>
      </c>
      <c r="N216" s="7" t="inlineStr">
        <is>
          <t>Aprobado</t>
        </is>
      </c>
      <c r="O216" s="5" t="inlineStr">
        <is>
          <t>2026-10-27</t>
        </is>
      </c>
      <c r="P216" s="5" t="inlineStr">
        <is>
          <t>docs/evidencia-final-equipo/vitest-frontend.json</t>
        </is>
      </c>
      <c r="Q216" s="5" t="inlineStr">
        <is>
          <t>-</t>
        </is>
      </c>
    </row>
    <row r="217">
      <c r="A217" s="5" t="inlineStr">
        <is>
          <t>Tomás Henao</t>
        </is>
      </c>
      <c r="B217" s="5" t="inlineStr">
        <is>
          <t>Cuentas</t>
        </is>
      </c>
      <c r="C217" s="5" t="inlineStr">
        <is>
          <t>EX-RET</t>
        </is>
      </c>
      <c r="D217" s="5" t="inlineStr">
        <is>
          <t>Retirar dinero (funcionalidad extra)</t>
        </is>
      </c>
      <c r="E217" s="5" t="inlineStr">
        <is>
          <t>accounts/withdraw.cy.ts</t>
        </is>
      </c>
      <c r="F217" s="5" t="inlineStr">
        <is>
          <t>CYU-WITHDR-01</t>
        </is>
      </c>
      <c r="G217" s="5" t="inlineStr">
        <is>
          <t>CP01: Retiro de dinero con monto válido</t>
        </is>
      </c>
      <c r="H217" s="5" t="inlineStr">
        <is>
          <t>Sistema (E2E)</t>
        </is>
      </c>
      <c r="I217" s="5" t="inlineStr">
        <is>
          <t>Funcional</t>
        </is>
      </c>
      <c r="J217" s="5" t="inlineStr">
        <is>
          <t>Cypress (Usuarios y Retiro, Tomás)</t>
        </is>
      </c>
      <c r="K217" s="5" t="inlineStr">
        <is>
          <t>cypress/e2e/accounts/withdraw.cy.ts</t>
        </is>
      </c>
      <c r="L217" s="5" t="inlineStr">
        <is>
          <t>CP01: Retiro de dinero con monto válido</t>
        </is>
      </c>
      <c r="M217" s="5" t="inlineStr">
        <is>
          <t>No ejecutado: usa /auth/test-helper/* y las cuentas fijas de c9ce5f4 (regresión REG-01 abierta)</t>
        </is>
      </c>
      <c r="N217" s="6" t="inlineStr">
        <is>
          <t>No ejecutado</t>
        </is>
      </c>
      <c r="O217" s="5" t="inlineStr">
        <is>
          <t>-</t>
        </is>
      </c>
      <c r="P217" s="5" t="inlineStr">
        <is>
          <t>-</t>
        </is>
      </c>
      <c r="Q217" s="5" t="inlineStr">
        <is>
          <t>-</t>
        </is>
      </c>
    </row>
    <row r="218">
      <c r="A218" s="5" t="inlineStr">
        <is>
          <t>Tomás Henao</t>
        </is>
      </c>
      <c r="B218" s="5" t="inlineStr">
        <is>
          <t>Cuentas</t>
        </is>
      </c>
      <c r="C218" s="5" t="inlineStr">
        <is>
          <t>EX-RET</t>
        </is>
      </c>
      <c r="D218" s="5" t="inlineStr">
        <is>
          <t>Retirar dinero (funcionalidad extra)</t>
        </is>
      </c>
      <c r="E218" s="5" t="inlineStr">
        <is>
          <t>accounts/withdraw.cy.ts</t>
        </is>
      </c>
      <c r="F218" s="5" t="inlineStr">
        <is>
          <t>CYU-WITHDR-02</t>
        </is>
      </c>
      <c r="G218" s="5" t="inlineStr">
        <is>
          <t>CP02: Retiro con saldo insuficiente muestra mensaje de error</t>
        </is>
      </c>
      <c r="H218" s="5" t="inlineStr">
        <is>
          <t>Sistema (E2E)</t>
        </is>
      </c>
      <c r="I218" s="5" t="inlineStr">
        <is>
          <t>Funcional</t>
        </is>
      </c>
      <c r="J218" s="5" t="inlineStr">
        <is>
          <t>Cypress (Usuarios y Retiro, Tomás)</t>
        </is>
      </c>
      <c r="K218" s="5" t="inlineStr">
        <is>
          <t>cypress/e2e/accounts/withdraw.cy.ts</t>
        </is>
      </c>
      <c r="L218" s="5" t="inlineStr">
        <is>
          <t>CP02: Retiro con saldo insuficiente muestra mensaje de error</t>
        </is>
      </c>
      <c r="M218" s="5" t="inlineStr">
        <is>
          <t>No ejecutado: usa /auth/test-helper/* y las cuentas fijas de c9ce5f4 (regresión REG-01 abierta)</t>
        </is>
      </c>
      <c r="N218" s="6" t="inlineStr">
        <is>
          <t>No ejecutado</t>
        </is>
      </c>
      <c r="O218" s="5" t="inlineStr">
        <is>
          <t>-</t>
        </is>
      </c>
      <c r="P218" s="5" t="inlineStr">
        <is>
          <t>-</t>
        </is>
      </c>
      <c r="Q218" s="5" t="inlineStr">
        <is>
          <t>-</t>
        </is>
      </c>
    </row>
    <row r="219">
      <c r="A219" s="5" t="inlineStr">
        <is>
          <t>Tomás Henao</t>
        </is>
      </c>
      <c r="B219" s="5" t="inlineStr">
        <is>
          <t>Cuentas</t>
        </is>
      </c>
      <c r="C219" s="5" t="inlineStr">
        <is>
          <t>EX-RET</t>
        </is>
      </c>
      <c r="D219" s="5" t="inlineStr">
        <is>
          <t>Retirar dinero (funcionalidad extra)</t>
        </is>
      </c>
      <c r="E219" s="5" t="inlineStr">
        <is>
          <t>accounts/withdraw.cy.ts</t>
        </is>
      </c>
      <c r="F219" s="5" t="inlineStr">
        <is>
          <t>CYU-WITHDR-03</t>
        </is>
      </c>
      <c r="G219" s="5" t="inlineStr">
        <is>
          <t>CP03: Retiro con monto inválido (cero) muestra validación</t>
        </is>
      </c>
      <c r="H219" s="5" t="inlineStr">
        <is>
          <t>Sistema (E2E)</t>
        </is>
      </c>
      <c r="I219" s="5" t="inlineStr">
        <is>
          <t>Funcional</t>
        </is>
      </c>
      <c r="J219" s="5" t="inlineStr">
        <is>
          <t>Cypress (Usuarios y Retiro, Tomás)</t>
        </is>
      </c>
      <c r="K219" s="5" t="inlineStr">
        <is>
          <t>cypress/e2e/accounts/withdraw.cy.ts</t>
        </is>
      </c>
      <c r="L219" s="5" t="inlineStr">
        <is>
          <t>CP03: Retiro con monto inválido (cero) muestra validación</t>
        </is>
      </c>
      <c r="M219" s="5" t="inlineStr">
        <is>
          <t>No ejecutado: usa /auth/test-helper/* y las cuentas fijas de c9ce5f4 (regresión REG-01 abierta)</t>
        </is>
      </c>
      <c r="N219" s="6" t="inlineStr">
        <is>
          <t>No ejecutado</t>
        </is>
      </c>
      <c r="O219" s="5" t="inlineStr">
        <is>
          <t>-</t>
        </is>
      </c>
      <c r="P219" s="5" t="inlineStr">
        <is>
          <t>-</t>
        </is>
      </c>
      <c r="Q219" s="5" t="inlineStr">
        <is>
          <t>-</t>
        </is>
      </c>
    </row>
    <row r="220">
      <c r="A220" s="5" t="inlineStr">
        <is>
          <t>Tomás Henao</t>
        </is>
      </c>
      <c r="B220" s="5" t="inlineStr">
        <is>
          <t>Cuentas</t>
        </is>
      </c>
      <c r="C220" s="5" t="inlineStr">
        <is>
          <t>EX-RET</t>
        </is>
      </c>
      <c r="D220" s="5" t="inlineStr">
        <is>
          <t>Retirar dinero (funcionalidad extra)</t>
        </is>
      </c>
      <c r="E220" s="5" t="inlineStr">
        <is>
          <t>accounts/withdraw.cy.ts</t>
        </is>
      </c>
      <c r="F220" s="5" t="inlineStr">
        <is>
          <t>CYU-WITHDR-04</t>
        </is>
      </c>
      <c r="G220" s="5" t="inlineStr">
        <is>
          <t>CP04: Cancelar retiro cierra el modal y vuelve a la vista de cuentas</t>
        </is>
      </c>
      <c r="H220" s="5" t="inlineStr">
        <is>
          <t>Sistema (E2E)</t>
        </is>
      </c>
      <c r="I220" s="5" t="inlineStr">
        <is>
          <t>Funcional</t>
        </is>
      </c>
      <c r="J220" s="5" t="inlineStr">
        <is>
          <t>Cypress (Usuarios y Retiro, Tomás)</t>
        </is>
      </c>
      <c r="K220" s="5" t="inlineStr">
        <is>
          <t>cypress/e2e/accounts/withdraw.cy.ts</t>
        </is>
      </c>
      <c r="L220" s="5" t="inlineStr">
        <is>
          <t>CP04: Cancelar retiro cierra el modal y vuelve a la vista de cuentas</t>
        </is>
      </c>
      <c r="M220" s="5" t="inlineStr">
        <is>
          <t>No ejecutado: usa /auth/test-helper/* y las cuentas fijas de c9ce5f4 (regresión REG-01 abierta)</t>
        </is>
      </c>
      <c r="N220" s="6" t="inlineStr">
        <is>
          <t>No ejecutado</t>
        </is>
      </c>
      <c r="O220" s="5" t="inlineStr">
        <is>
          <t>-</t>
        </is>
      </c>
      <c r="P220" s="5" t="inlineStr">
        <is>
          <t>-</t>
        </is>
      </c>
      <c r="Q220" s="5" t="inlineStr">
        <is>
          <t>-</t>
        </is>
      </c>
    </row>
    <row r="221">
      <c r="A221" s="5" t="inlineStr">
        <is>
          <t>Tomás Henao</t>
        </is>
      </c>
      <c r="B221" s="5" t="inlineStr">
        <is>
          <t>Cuentas</t>
        </is>
      </c>
      <c r="C221" s="5" t="inlineStr">
        <is>
          <t>EX-RET</t>
        </is>
      </c>
      <c r="D221" s="5" t="inlineStr">
        <is>
          <t>Retirar dinero (funcionalidad extra)</t>
        </is>
      </c>
      <c r="E221" s="5" t="inlineStr">
        <is>
          <t>Katalon Recorder</t>
        </is>
      </c>
      <c r="F221" s="5" t="inlineStr">
        <is>
          <t>Suite_13_Retiro</t>
        </is>
      </c>
      <c r="G221" s="5" t="inlineStr">
        <is>
          <t>Suite_13_Retiro (Tomás)</t>
        </is>
      </c>
      <c r="H221" s="5" t="inlineStr">
        <is>
          <t>Sistema (E2E)</t>
        </is>
      </c>
      <c r="I221" s="5" t="inlineStr">
        <is>
          <t>Funcional</t>
        </is>
      </c>
      <c r="J221" s="5" t="inlineStr">
        <is>
          <t>Katalon Recorder</t>
        </is>
      </c>
      <c r="K221" s="5" t="inlineStr">
        <is>
          <t>katalon/suites/Suite_13_Retiro.html</t>
        </is>
      </c>
      <c r="L221" s="5" t="inlineStr">
        <is>
          <t>Todos los casos de la suite pasan</t>
        </is>
      </c>
      <c r="M221" s="5" t="inlineStr">
        <is>
          <t>Sin resultado registrado en el repositorio</t>
        </is>
      </c>
      <c r="N221" s="6" t="inlineStr">
        <is>
          <t>Sin resultado registrado</t>
        </is>
      </c>
      <c r="O221" s="5" t="inlineStr">
        <is>
          <t>-</t>
        </is>
      </c>
      <c r="P221" s="5" t="inlineStr">
        <is>
          <t>-</t>
        </is>
      </c>
      <c r="Q221" s="5" t="inlineStr">
        <is>
          <t>-</t>
        </is>
      </c>
    </row>
    <row r="222">
      <c r="A222" s="5" t="inlineStr">
        <is>
          <t>Tomás Henao</t>
        </is>
      </c>
      <c r="B222" s="5" t="inlineStr">
        <is>
          <t>Cuentas</t>
        </is>
      </c>
      <c r="C222" s="5" t="inlineStr">
        <is>
          <t>EX-RET</t>
        </is>
      </c>
      <c r="D222" s="5" t="inlineStr">
        <is>
          <t>Retirar dinero (funcionalidad extra)</t>
        </is>
      </c>
      <c r="E222" s="5" t="inlineStr">
        <is>
          <t>retirar_dinero.feature</t>
        </is>
      </c>
      <c r="F222" s="5" t="inlineStr">
        <is>
          <t>SJ-RETI-01</t>
        </is>
      </c>
      <c r="G222" s="5" t="inlineStr">
        <is>
          <t>Retirar un monto válido</t>
        </is>
      </c>
      <c r="H222" s="5" t="inlineStr">
        <is>
          <t>Integración (API)</t>
        </is>
      </c>
      <c r="I222" s="5" t="inlineStr">
        <is>
          <t>Funcional</t>
        </is>
      </c>
      <c r="J222" s="5" t="inlineStr">
        <is>
          <t>Serenity/JS Screenplay + Gherkin</t>
        </is>
      </c>
      <c r="K222" s="5" t="inlineStr">
        <is>
          <t>features/retiro/retirar_dinero.feature</t>
        </is>
      </c>
      <c r="L222" s="5" t="inlineStr">
        <is>
          <t>Retirar un monto válido</t>
        </is>
      </c>
      <c r="M222" s="5" t="inlineStr">
        <is>
          <t>Todos los pasos pasaron</t>
        </is>
      </c>
      <c r="N222" s="7" t="inlineStr">
        <is>
          <t>Aprobado</t>
        </is>
      </c>
      <c r="O222" s="5" t="inlineStr">
        <is>
          <t>2026-10-27</t>
        </is>
      </c>
      <c r="P222" s="5" t="inlineStr">
        <is>
          <t>docs/evidencia-final-equipo/serenity-equipo-corrida.txt</t>
        </is>
      </c>
      <c r="Q222" s="5" t="inlineStr">
        <is>
          <t>-</t>
        </is>
      </c>
    </row>
    <row r="223">
      <c r="A223" s="5" t="inlineStr">
        <is>
          <t>Tomás Henao</t>
        </is>
      </c>
      <c r="B223" s="5" t="inlineStr">
        <is>
          <t>Cuentas</t>
        </is>
      </c>
      <c r="C223" s="5" t="inlineStr">
        <is>
          <t>EX-RET</t>
        </is>
      </c>
      <c r="D223" s="5" t="inlineStr">
        <is>
          <t>Retirar dinero (funcionalidad extra)</t>
        </is>
      </c>
      <c r="E223" s="5" t="inlineStr">
        <is>
          <t>retirar_dinero.feature</t>
        </is>
      </c>
      <c r="F223" s="5" t="inlineStr">
        <is>
          <t>SJ-RETI-02</t>
        </is>
      </c>
      <c r="G223" s="5" t="inlineStr">
        <is>
          <t>Intentar retirar un monto negativo</t>
        </is>
      </c>
      <c r="H223" s="5" t="inlineStr">
        <is>
          <t>Integración (API)</t>
        </is>
      </c>
      <c r="I223" s="5" t="inlineStr">
        <is>
          <t>Funcional</t>
        </is>
      </c>
      <c r="J223" s="5" t="inlineStr">
        <is>
          <t>Serenity/JS Screenplay + Gherkin</t>
        </is>
      </c>
      <c r="K223" s="5" t="inlineStr">
        <is>
          <t>features/retiro/retirar_dinero.feature</t>
        </is>
      </c>
      <c r="L223" s="5" t="inlineStr">
        <is>
          <t>Intentar retirar un monto negativo</t>
        </is>
      </c>
      <c r="M223" s="5" t="inlineStr">
        <is>
          <t>Todos los pasos pasaron</t>
        </is>
      </c>
      <c r="N223" s="7" t="inlineStr">
        <is>
          <t>Aprobado</t>
        </is>
      </c>
      <c r="O223" s="5" t="inlineStr">
        <is>
          <t>2026-10-27</t>
        </is>
      </c>
      <c r="P223" s="5" t="inlineStr">
        <is>
          <t>docs/evidencia-final-equipo/serenity-equipo-corrida.txt</t>
        </is>
      </c>
      <c r="Q223" s="5" t="inlineStr">
        <is>
          <t>-</t>
        </is>
      </c>
    </row>
    <row r="224">
      <c r="A224" s="5" t="inlineStr">
        <is>
          <t>Tomás Henao</t>
        </is>
      </c>
      <c r="B224" s="5" t="inlineStr">
        <is>
          <t>Cuentas</t>
        </is>
      </c>
      <c r="C224" s="5" t="inlineStr">
        <is>
          <t>EX-RET</t>
        </is>
      </c>
      <c r="D224" s="5" t="inlineStr">
        <is>
          <t>Retirar dinero (funcionalidad extra)</t>
        </is>
      </c>
      <c r="E224" s="5" t="inlineStr">
        <is>
          <t>retirar_dinero.feature</t>
        </is>
      </c>
      <c r="F224" s="5" t="inlineStr">
        <is>
          <t>SJ-RETI-03</t>
        </is>
      </c>
      <c r="G224" s="5" t="inlineStr">
        <is>
          <t>Intentar retirar cero</t>
        </is>
      </c>
      <c r="H224" s="5" t="inlineStr">
        <is>
          <t>Integración (API)</t>
        </is>
      </c>
      <c r="I224" s="5" t="inlineStr">
        <is>
          <t>Funcional</t>
        </is>
      </c>
      <c r="J224" s="5" t="inlineStr">
        <is>
          <t>Serenity/JS Screenplay + Gherkin</t>
        </is>
      </c>
      <c r="K224" s="5" t="inlineStr">
        <is>
          <t>features/retiro/retirar_dinero.feature</t>
        </is>
      </c>
      <c r="L224" s="5" t="inlineStr">
        <is>
          <t>Intentar retirar cero</t>
        </is>
      </c>
      <c r="M224" s="5" t="inlineStr">
        <is>
          <t>Todos los pasos pasaron</t>
        </is>
      </c>
      <c r="N224" s="7" t="inlineStr">
        <is>
          <t>Aprobado</t>
        </is>
      </c>
      <c r="O224" s="5" t="inlineStr">
        <is>
          <t>2026-10-27</t>
        </is>
      </c>
      <c r="P224" s="5" t="inlineStr">
        <is>
          <t>docs/evidencia-final-equipo/serenity-equipo-corrida.txt</t>
        </is>
      </c>
      <c r="Q224" s="5" t="inlineStr">
        <is>
          <t>-</t>
        </is>
      </c>
    </row>
    <row r="225">
      <c r="A225" s="5" t="inlineStr">
        <is>
          <t>Tomás Henao</t>
        </is>
      </c>
      <c r="B225" s="5" t="inlineStr">
        <is>
          <t>Cuentas</t>
        </is>
      </c>
      <c r="C225" s="5" t="inlineStr">
        <is>
          <t>EX-RET</t>
        </is>
      </c>
      <c r="D225" s="5" t="inlineStr">
        <is>
          <t>Retirar dinero (funcionalidad extra)</t>
        </is>
      </c>
      <c r="E225" s="5" t="inlineStr">
        <is>
          <t>retirar_dinero.feature</t>
        </is>
      </c>
      <c r="F225" s="5" t="inlineStr">
        <is>
          <t>SJ-RETI-04</t>
        </is>
      </c>
      <c r="G225" s="5" t="inlineStr">
        <is>
          <t>Intentar retirar más del saldo disponible</t>
        </is>
      </c>
      <c r="H225" s="5" t="inlineStr">
        <is>
          <t>Integración (API)</t>
        </is>
      </c>
      <c r="I225" s="5" t="inlineStr">
        <is>
          <t>Funcional</t>
        </is>
      </c>
      <c r="J225" s="5" t="inlineStr">
        <is>
          <t>Serenity/JS Screenplay + Gherkin</t>
        </is>
      </c>
      <c r="K225" s="5" t="inlineStr">
        <is>
          <t>features/retiro/retirar_dinero.feature</t>
        </is>
      </c>
      <c r="L225" s="5" t="inlineStr">
        <is>
          <t>Intentar retirar más del saldo disponible</t>
        </is>
      </c>
      <c r="M225" s="5" t="inlineStr">
        <is>
          <t>Todos los pasos pasaron</t>
        </is>
      </c>
      <c r="N225" s="7" t="inlineStr">
        <is>
          <t>Aprobado</t>
        </is>
      </c>
      <c r="O225" s="5" t="inlineStr">
        <is>
          <t>2026-10-27</t>
        </is>
      </c>
      <c r="P225" s="5" t="inlineStr">
        <is>
          <t>docs/evidencia-final-equipo/serenity-equipo-corrida.txt</t>
        </is>
      </c>
      <c r="Q225" s="5" t="inlineStr">
        <is>
          <t>-</t>
        </is>
      </c>
    </row>
    <row r="226">
      <c r="A226" s="5" t="inlineStr">
        <is>
          <t>Tomás Henao</t>
        </is>
      </c>
      <c r="B226" s="5" t="inlineStr">
        <is>
          <t>Cuentas</t>
        </is>
      </c>
      <c r="C226" s="5" t="inlineStr">
        <is>
          <t>EX-RET</t>
        </is>
      </c>
      <c r="D226" s="5" t="inlineStr">
        <is>
          <t>Retirar dinero (funcionalidad extra)</t>
        </is>
      </c>
      <c r="E226" s="5" t="inlineStr">
        <is>
          <t>retirar_dinero.feature</t>
        </is>
      </c>
      <c r="F226" s="5" t="inlineStr">
        <is>
          <t>SJ-RETI-05</t>
        </is>
      </c>
      <c r="G226" s="5" t="inlineStr">
        <is>
          <t>Intentar retirar sin autenticación</t>
        </is>
      </c>
      <c r="H226" s="5" t="inlineStr">
        <is>
          <t>Integración (API)</t>
        </is>
      </c>
      <c r="I226" s="5" t="inlineStr">
        <is>
          <t>Funcional</t>
        </is>
      </c>
      <c r="J226" s="5" t="inlineStr">
        <is>
          <t>Serenity/JS Screenplay + Gherkin</t>
        </is>
      </c>
      <c r="K226" s="5" t="inlineStr">
        <is>
          <t>features/retiro/retirar_dinero.feature</t>
        </is>
      </c>
      <c r="L226" s="5" t="inlineStr">
        <is>
          <t>Intentar retirar sin autenticación</t>
        </is>
      </c>
      <c r="M226" s="5" t="inlineStr">
        <is>
          <t>Todos los pasos pasaron</t>
        </is>
      </c>
      <c r="N226" s="7" t="inlineStr">
        <is>
          <t>Aprobado</t>
        </is>
      </c>
      <c r="O226" s="5" t="inlineStr">
        <is>
          <t>2026-10-27</t>
        </is>
      </c>
      <c r="P226" s="5" t="inlineStr">
        <is>
          <t>docs/evidencia-final-equipo/serenity-equipo-corrida.txt</t>
        </is>
      </c>
      <c r="Q226" s="5" t="inlineStr">
        <is>
          <t>-</t>
        </is>
      </c>
    </row>
    <row r="227">
      <c r="A227" s="5" t="inlineStr">
        <is>
          <t>Tomás Henao</t>
        </is>
      </c>
      <c r="B227" s="5" t="inlineStr">
        <is>
          <t>Cuentas</t>
        </is>
      </c>
      <c r="C227" s="5" t="inlineStr">
        <is>
          <t>EX-RET</t>
        </is>
      </c>
      <c r="D227" s="5" t="inlineStr">
        <is>
          <t>Retirar dinero (funcionalidad extra)</t>
        </is>
      </c>
      <c r="E227" s="5" t="inlineStr">
        <is>
          <t>retirar_dinero.feature</t>
        </is>
      </c>
      <c r="F227" s="5" t="inlineStr">
        <is>
          <t>SJ-RETI-06</t>
        </is>
      </c>
      <c r="G227" s="5" t="inlineStr">
        <is>
          <t>Intentar retirar de una cuenta inexistente</t>
        </is>
      </c>
      <c r="H227" s="5" t="inlineStr">
        <is>
          <t>Integración (API)</t>
        </is>
      </c>
      <c r="I227" s="5" t="inlineStr">
        <is>
          <t>Funcional</t>
        </is>
      </c>
      <c r="J227" s="5" t="inlineStr">
        <is>
          <t>Serenity/JS Screenplay + Gherkin</t>
        </is>
      </c>
      <c r="K227" s="5" t="inlineStr">
        <is>
          <t>features/retiro/retirar_dinero.feature</t>
        </is>
      </c>
      <c r="L227" s="5" t="inlineStr">
        <is>
          <t>Intentar retirar de una cuenta inexistente</t>
        </is>
      </c>
      <c r="M227" s="5" t="inlineStr">
        <is>
          <t>Todos los pasos pasaron</t>
        </is>
      </c>
      <c r="N227" s="7" t="inlineStr">
        <is>
          <t>Aprobado</t>
        </is>
      </c>
      <c r="O227" s="5" t="inlineStr">
        <is>
          <t>2026-10-27</t>
        </is>
      </c>
      <c r="P227" s="5" t="inlineStr">
        <is>
          <t>docs/evidencia-final-equipo/serenity-equipo-corrida.txt</t>
        </is>
      </c>
      <c r="Q227" s="5" t="inlineStr">
        <is>
          <t>-</t>
        </is>
      </c>
    </row>
    <row r="228">
      <c r="A228" s="5" t="inlineStr">
        <is>
          <t>Tomás Henao</t>
        </is>
      </c>
      <c r="B228" s="5" t="inlineStr">
        <is>
          <t>Cuentas</t>
        </is>
      </c>
      <c r="C228" s="5" t="inlineStr">
        <is>
          <t>EX-RET</t>
        </is>
      </c>
      <c r="D228" s="5" t="inlineStr">
        <is>
          <t>Retirar dinero (funcionalidad extra)</t>
        </is>
      </c>
      <c r="E228" s="5" t="inlineStr">
        <is>
          <t>Stagehand</t>
        </is>
      </c>
      <c r="F228" s="5" t="inlineStr">
        <is>
          <t>SH-T13</t>
        </is>
      </c>
      <c r="G228" s="5" t="inlineStr">
        <is>
          <t>13-retiro-dinero (act + extract + observe, 13 pasos)</t>
        </is>
      </c>
      <c r="H228" s="5" t="inlineStr">
        <is>
          <t>Sistema (E2E con IA)</t>
        </is>
      </c>
      <c r="I228" s="5" t="inlineStr">
        <is>
          <t>Funcional</t>
        </is>
      </c>
      <c r="J228" s="5" t="inlineStr">
        <is>
          <t>Stagehand (Tomás)</t>
        </is>
      </c>
      <c r="K228" s="5" t="inlineStr">
        <is>
          <t>e2e/stagehand/src/scenarios/</t>
        </is>
      </c>
      <c r="L228" s="5" t="inlineStr">
        <is>
          <t>Ver escenario</t>
        </is>
      </c>
      <c r="M228" s="5" t="inlineStr">
        <is>
          <t>Reporte generado al completar el escenario</t>
        </is>
      </c>
      <c r="N228" s="8" t="inlineStr">
        <is>
          <t>Aprobado (reportado)</t>
        </is>
      </c>
      <c r="O228" s="5" t="inlineStr">
        <is>
          <t>2026-10-27</t>
        </is>
      </c>
      <c r="P228" s="5" t="inlineStr">
        <is>
          <t>e2e/stagehand/evidence/13-retiro-dinero-report.json</t>
        </is>
      </c>
      <c r="Q228" s="5" t="inlineStr">
        <is>
          <t>-</t>
        </is>
      </c>
    </row>
    <row r="229">
      <c r="A229" s="5" t="inlineStr">
        <is>
          <t>Tomás Henao</t>
        </is>
      </c>
      <c r="B229" s="5" t="inlineStr">
        <is>
          <t>Cuentas</t>
        </is>
      </c>
      <c r="C229" s="5" t="inlineStr">
        <is>
          <t>EX-RET</t>
        </is>
      </c>
      <c r="D229" s="5" t="inlineStr">
        <is>
          <t>Retirar dinero (funcionalidad extra)</t>
        </is>
      </c>
      <c r="E229" s="5" t="inlineStr">
        <is>
          <t>Vitest backend · unitaria</t>
        </is>
      </c>
      <c r="F229" s="5" t="inlineStr">
        <is>
          <t>VT-WithdrawMoney.test</t>
        </is>
      </c>
      <c r="G229" s="5" t="inlineStr">
        <is>
          <t>WithdrawMoney.test.ts (7 pruebas)</t>
        </is>
      </c>
      <c r="H229" s="5" t="inlineStr">
        <is>
          <t>Unitaria / Integración</t>
        </is>
      </c>
      <c r="I229" s="5" t="inlineStr">
        <is>
          <t>Funcional</t>
        </is>
      </c>
      <c r="J229" s="5" t="inlineStr">
        <is>
          <t>Vitest backend</t>
        </is>
      </c>
      <c r="K229" s="5" t="inlineStr">
        <is>
          <t>backend/src/tests/unit/account/WithdrawMoney.test.ts</t>
        </is>
      </c>
      <c r="L229" s="5" t="inlineStr">
        <is>
          <t>Todas las pruebas del archivo pasan</t>
        </is>
      </c>
      <c r="M229" s="5" t="inlineStr">
        <is>
          <t>7/7 pasan</t>
        </is>
      </c>
      <c r="N229" s="7" t="inlineStr">
        <is>
          <t>Aprobado</t>
        </is>
      </c>
      <c r="O229" s="5" t="inlineStr">
        <is>
          <t>2026-10-27</t>
        </is>
      </c>
      <c r="P229" s="5" t="inlineStr">
        <is>
          <t>docs/evidencia-final-equipo/vitest-backend.json</t>
        </is>
      </c>
      <c r="Q229" s="5" t="inlineStr">
        <is>
          <t>-</t>
        </is>
      </c>
    </row>
    <row r="230">
      <c r="A230" s="5" t="inlineStr">
        <is>
          <t>Andrés Bedoya</t>
        </is>
      </c>
      <c r="B230" s="5" t="inlineStr">
        <is>
          <t>Créditos</t>
        </is>
      </c>
      <c r="C230" s="5" t="inlineStr">
        <is>
          <t>HU-27</t>
        </is>
      </c>
      <c r="D230" s="5" t="inlineStr">
        <is>
          <t>Simulación de crédito</t>
        </is>
      </c>
      <c r="E230" s="5" t="inlineStr">
        <is>
          <t>ESC001</t>
        </is>
      </c>
      <c r="F230" s="5" t="inlineStr">
        <is>
          <t>CP001</t>
        </is>
      </c>
      <c r="G230" s="5" t="inlineStr">
        <is>
          <t>Datos válidos</t>
        </is>
      </c>
      <c r="H230" s="5" t="inlineStr">
        <is>
          <t>Sistema</t>
        </is>
      </c>
      <c r="I230" s="5" t="inlineStr">
        <is>
          <t>Funcional</t>
        </is>
      </c>
      <c r="J230" s="5" t="inlineStr">
        <is>
          <t>Casos del Excel (diseño + ejecución manual)</t>
        </is>
      </c>
      <c r="K230" s="5" t="inlineStr">
        <is>
          <t>Casos y Escenarios FuBank.xlsx</t>
        </is>
      </c>
      <c r="L230" s="5" t="inlineStr">
        <is>
          <t>Ingresar monto, cuotas y tasa anual dentro de los rangos permitidos.</t>
        </is>
      </c>
      <c r="M230" s="5" t="inlineStr">
        <is>
          <t>Sin resultado en el Excel</t>
        </is>
      </c>
      <c r="N230" s="9" t="inlineStr">
        <is>
          <t>Pendiente</t>
        </is>
      </c>
      <c r="O230" s="5" t="inlineStr">
        <is>
          <t>-</t>
        </is>
      </c>
      <c r="P230" s="5" t="inlineStr">
        <is>
          <t>Excel (hoja Casos de Prueba Detallado)</t>
        </is>
      </c>
      <c r="Q230" s="5" t="inlineStr">
        <is>
          <t>-</t>
        </is>
      </c>
    </row>
    <row r="231">
      <c r="A231" s="5" t="inlineStr">
        <is>
          <t>Andrés Bedoya</t>
        </is>
      </c>
      <c r="B231" s="5" t="inlineStr">
        <is>
          <t>Créditos</t>
        </is>
      </c>
      <c r="C231" s="5" t="inlineStr">
        <is>
          <t>HU-27</t>
        </is>
      </c>
      <c r="D231" s="5" t="inlineStr">
        <is>
          <t>Simulación de crédito</t>
        </is>
      </c>
      <c r="E231" s="5" t="inlineStr">
        <is>
          <t>ESC002</t>
        </is>
      </c>
      <c r="F231" s="5" t="inlineStr">
        <is>
          <t>CP002</t>
        </is>
      </c>
      <c r="G231" s="5" t="inlineStr">
        <is>
          <t>Monto igual a 0</t>
        </is>
      </c>
      <c r="H231" s="5" t="inlineStr">
        <is>
          <t>Sistema</t>
        </is>
      </c>
      <c r="I231" s="5" t="inlineStr">
        <is>
          <t>Funcional</t>
        </is>
      </c>
      <c r="J231" s="5" t="inlineStr">
        <is>
          <t>Casos del Excel (diseño + ejecución manual)</t>
        </is>
      </c>
      <c r="K231" s="5" t="inlineStr">
        <is>
          <t>Casos y Escenarios FuBank.xlsx</t>
        </is>
      </c>
      <c r="L231" s="5" t="inlineStr">
        <is>
          <t>Ingresar monto igual a 0 e intentar simular.</t>
        </is>
      </c>
      <c r="M231" s="5" t="inlineStr">
        <is>
          <t>Sin resultado en el Excel</t>
        </is>
      </c>
      <c r="N231" s="9" t="inlineStr">
        <is>
          <t>Pendiente</t>
        </is>
      </c>
      <c r="O231" s="5" t="inlineStr">
        <is>
          <t>-</t>
        </is>
      </c>
      <c r="P231" s="5" t="inlineStr">
        <is>
          <t>Excel (hoja Casos de Prueba Detallado)</t>
        </is>
      </c>
      <c r="Q231" s="5" t="inlineStr">
        <is>
          <t>-</t>
        </is>
      </c>
    </row>
    <row r="232">
      <c r="A232" s="5" t="inlineStr">
        <is>
          <t>Andrés Bedoya</t>
        </is>
      </c>
      <c r="B232" s="5" t="inlineStr">
        <is>
          <t>Créditos</t>
        </is>
      </c>
      <c r="C232" s="5" t="inlineStr">
        <is>
          <t>HU-27</t>
        </is>
      </c>
      <c r="D232" s="5" t="inlineStr">
        <is>
          <t>Simulación de crédito</t>
        </is>
      </c>
      <c r="E232" s="5" t="inlineStr">
        <is>
          <t>ESC002</t>
        </is>
      </c>
      <c r="F232" s="5" t="inlineStr">
        <is>
          <t>CP003</t>
        </is>
      </c>
      <c r="G232" s="5" t="inlineStr">
        <is>
          <t>Monto negativo</t>
        </is>
      </c>
      <c r="H232" s="5" t="inlineStr">
        <is>
          <t>Sistema</t>
        </is>
      </c>
      <c r="I232" s="5" t="inlineStr">
        <is>
          <t>Funcional</t>
        </is>
      </c>
      <c r="J232" s="5" t="inlineStr">
        <is>
          <t>Casos del Excel (diseño + ejecución manual)</t>
        </is>
      </c>
      <c r="K232" s="5" t="inlineStr">
        <is>
          <t>Casos y Escenarios FuBank.xlsx</t>
        </is>
      </c>
      <c r="L232" s="5" t="inlineStr">
        <is>
          <t>Ingresar un monto menor a 0 e intentar simular.</t>
        </is>
      </c>
      <c r="M232" s="5" t="inlineStr">
        <is>
          <t>Sin resultado en el Excel</t>
        </is>
      </c>
      <c r="N232" s="9" t="inlineStr">
        <is>
          <t>Pendiente</t>
        </is>
      </c>
      <c r="O232" s="5" t="inlineStr">
        <is>
          <t>-</t>
        </is>
      </c>
      <c r="P232" s="5" t="inlineStr">
        <is>
          <t>Excel (hoja Casos de Prueba Detallado)</t>
        </is>
      </c>
      <c r="Q232" s="5" t="inlineStr">
        <is>
          <t>-</t>
        </is>
      </c>
    </row>
    <row r="233">
      <c r="A233" s="5" t="inlineStr">
        <is>
          <t>Andrés Bedoya</t>
        </is>
      </c>
      <c r="B233" s="5" t="inlineStr">
        <is>
          <t>Créditos</t>
        </is>
      </c>
      <c r="C233" s="5" t="inlineStr">
        <is>
          <t>HU-27</t>
        </is>
      </c>
      <c r="D233" s="5" t="inlineStr">
        <is>
          <t>Simulación de crédito</t>
        </is>
      </c>
      <c r="E233" s="5" t="inlineStr">
        <is>
          <t>ESC003</t>
        </is>
      </c>
      <c r="F233" s="5" t="inlineStr">
        <is>
          <t>CP004</t>
        </is>
      </c>
      <c r="G233" s="5" t="inlineStr">
        <is>
          <t>Monto vacío</t>
        </is>
      </c>
      <c r="H233" s="5" t="inlineStr">
        <is>
          <t>Sistema</t>
        </is>
      </c>
      <c r="I233" s="5" t="inlineStr">
        <is>
          <t>Funcional</t>
        </is>
      </c>
      <c r="J233" s="5" t="inlineStr">
        <is>
          <t>Casos del Excel (diseño + ejecución manual)</t>
        </is>
      </c>
      <c r="K233" s="5" t="inlineStr">
        <is>
          <t>Casos y Escenarios FuBank.xlsx</t>
        </is>
      </c>
      <c r="L233" s="5" t="inlineStr">
        <is>
          <t>Dejar el campo monto vacío e intentar simular.</t>
        </is>
      </c>
      <c r="M233" s="5" t="inlineStr">
        <is>
          <t>Sin resultado en el Excel</t>
        </is>
      </c>
      <c r="N233" s="9" t="inlineStr">
        <is>
          <t>Pendiente</t>
        </is>
      </c>
      <c r="O233" s="5" t="inlineStr">
        <is>
          <t>-</t>
        </is>
      </c>
      <c r="P233" s="5" t="inlineStr">
        <is>
          <t>Excel (hoja Casos de Prueba Detallado)</t>
        </is>
      </c>
      <c r="Q233" s="5" t="inlineStr">
        <is>
          <t>-</t>
        </is>
      </c>
    </row>
    <row r="234">
      <c r="A234" s="5" t="inlineStr">
        <is>
          <t>Andrés Bedoya</t>
        </is>
      </c>
      <c r="B234" s="5" t="inlineStr">
        <is>
          <t>Créditos</t>
        </is>
      </c>
      <c r="C234" s="5" t="inlineStr">
        <is>
          <t>HU-27</t>
        </is>
      </c>
      <c r="D234" s="5" t="inlineStr">
        <is>
          <t>Simulación de crédito</t>
        </is>
      </c>
      <c r="E234" s="5" t="inlineStr">
        <is>
          <t>ESC004</t>
        </is>
      </c>
      <c r="F234" s="5" t="inlineStr">
        <is>
          <t>CP005</t>
        </is>
      </c>
      <c r="G234" s="5" t="inlineStr">
        <is>
          <t>Cuotas igual a 0</t>
        </is>
      </c>
      <c r="H234" s="5" t="inlineStr">
        <is>
          <t>Sistema</t>
        </is>
      </c>
      <c r="I234" s="5" t="inlineStr">
        <is>
          <t>Funcional</t>
        </is>
      </c>
      <c r="J234" s="5" t="inlineStr">
        <is>
          <t>Casos del Excel (diseño + ejecución manual)</t>
        </is>
      </c>
      <c r="K234" s="5" t="inlineStr">
        <is>
          <t>Casos y Escenarios FuBank.xlsx</t>
        </is>
      </c>
      <c r="L234" s="5" t="inlineStr">
        <is>
          <t>Ingresar 0 cuotas e intentar simular.</t>
        </is>
      </c>
      <c r="M234" s="5" t="inlineStr">
        <is>
          <t>Sin resultado en el Excel</t>
        </is>
      </c>
      <c r="N234" s="9" t="inlineStr">
        <is>
          <t>Pendiente</t>
        </is>
      </c>
      <c r="O234" s="5" t="inlineStr">
        <is>
          <t>-</t>
        </is>
      </c>
      <c r="P234" s="5" t="inlineStr">
        <is>
          <t>Excel (hoja Casos de Prueba Detallado)</t>
        </is>
      </c>
      <c r="Q234" s="5" t="inlineStr">
        <is>
          <t>-</t>
        </is>
      </c>
    </row>
    <row r="235">
      <c r="A235" s="5" t="inlineStr">
        <is>
          <t>Andrés Bedoya</t>
        </is>
      </c>
      <c r="B235" s="5" t="inlineStr">
        <is>
          <t>Créditos</t>
        </is>
      </c>
      <c r="C235" s="5" t="inlineStr">
        <is>
          <t>HU-27</t>
        </is>
      </c>
      <c r="D235" s="5" t="inlineStr">
        <is>
          <t>Simulación de crédito</t>
        </is>
      </c>
      <c r="E235" s="5" t="inlineStr">
        <is>
          <t>ESC004</t>
        </is>
      </c>
      <c r="F235" s="5" t="inlineStr">
        <is>
          <t>CP006</t>
        </is>
      </c>
      <c r="G235" s="5" t="inlineStr">
        <is>
          <t>Cuotas negativas</t>
        </is>
      </c>
      <c r="H235" s="5" t="inlineStr">
        <is>
          <t>Sistema</t>
        </is>
      </c>
      <c r="I235" s="5" t="inlineStr">
        <is>
          <t>Funcional</t>
        </is>
      </c>
      <c r="J235" s="5" t="inlineStr">
        <is>
          <t>Casos del Excel (diseño + ejecución manual)</t>
        </is>
      </c>
      <c r="K235" s="5" t="inlineStr">
        <is>
          <t>Casos y Escenarios FuBank.xlsx</t>
        </is>
      </c>
      <c r="L235" s="5" t="inlineStr">
        <is>
          <t>Ingresar una cantidad de cuotas menor a 0.</t>
        </is>
      </c>
      <c r="M235" s="5" t="inlineStr">
        <is>
          <t>Sin resultado en el Excel</t>
        </is>
      </c>
      <c r="N235" s="9" t="inlineStr">
        <is>
          <t>Pendiente</t>
        </is>
      </c>
      <c r="O235" s="5" t="inlineStr">
        <is>
          <t>-</t>
        </is>
      </c>
      <c r="P235" s="5" t="inlineStr">
        <is>
          <t>Excel (hoja Casos de Prueba Detallado)</t>
        </is>
      </c>
      <c r="Q235" s="5" t="inlineStr">
        <is>
          <t>-</t>
        </is>
      </c>
    </row>
    <row r="236">
      <c r="A236" s="5" t="inlineStr">
        <is>
          <t>Andrés Bedoya</t>
        </is>
      </c>
      <c r="B236" s="5" t="inlineStr">
        <is>
          <t>Créditos</t>
        </is>
      </c>
      <c r="C236" s="5" t="inlineStr">
        <is>
          <t>HU-27</t>
        </is>
      </c>
      <c r="D236" s="5" t="inlineStr">
        <is>
          <t>Simulación de crédito</t>
        </is>
      </c>
      <c r="E236" s="5" t="inlineStr">
        <is>
          <t>ESC005</t>
        </is>
      </c>
      <c r="F236" s="5" t="inlineStr">
        <is>
          <t>CP007</t>
        </is>
      </c>
      <c r="G236" s="5" t="inlineStr">
        <is>
          <t>Cuotas en límite superior inválido</t>
        </is>
      </c>
      <c r="H236" s="5" t="inlineStr">
        <is>
          <t>Sistema</t>
        </is>
      </c>
      <c r="I236" s="5" t="inlineStr">
        <is>
          <t>Funcional</t>
        </is>
      </c>
      <c r="J236" s="5" t="inlineStr">
        <is>
          <t>Casos del Excel (diseño + ejecución manual)</t>
        </is>
      </c>
      <c r="K236" s="5" t="inlineStr">
        <is>
          <t>Casos y Escenarios FuBank.xlsx</t>
        </is>
      </c>
      <c r="L236" s="5" t="inlineStr">
        <is>
          <t>Ingresar 25 cuotas e intentar simular.</t>
        </is>
      </c>
      <c r="M236" s="5" t="inlineStr">
        <is>
          <t>Sin resultado en el Excel</t>
        </is>
      </c>
      <c r="N236" s="9" t="inlineStr">
        <is>
          <t>Pendiente</t>
        </is>
      </c>
      <c r="O236" s="5" t="inlineStr">
        <is>
          <t>-</t>
        </is>
      </c>
      <c r="P236" s="5" t="inlineStr">
        <is>
          <t>Excel (hoja Casos de Prueba Detallado)</t>
        </is>
      </c>
      <c r="Q236" s="5" t="inlineStr">
        <is>
          <t>-</t>
        </is>
      </c>
    </row>
    <row r="237">
      <c r="A237" s="5" t="inlineStr">
        <is>
          <t>Andrés Bedoya</t>
        </is>
      </c>
      <c r="B237" s="5" t="inlineStr">
        <is>
          <t>Créditos</t>
        </is>
      </c>
      <c r="C237" s="5" t="inlineStr">
        <is>
          <t>HU-27</t>
        </is>
      </c>
      <c r="D237" s="5" t="inlineStr">
        <is>
          <t>Simulación de crédito</t>
        </is>
      </c>
      <c r="E237" s="5" t="inlineStr">
        <is>
          <t>ESC006</t>
        </is>
      </c>
      <c r="F237" s="5" t="inlineStr">
        <is>
          <t>CP008</t>
        </is>
      </c>
      <c r="G237" s="5" t="inlineStr">
        <is>
          <t>Tasa igual a 0%</t>
        </is>
      </c>
      <c r="H237" s="5" t="inlineStr">
        <is>
          <t>Sistema</t>
        </is>
      </c>
      <c r="I237" s="5" t="inlineStr">
        <is>
          <t>Funcional</t>
        </is>
      </c>
      <c r="J237" s="5" t="inlineStr">
        <is>
          <t>Casos del Excel (diseño + ejecución manual)</t>
        </is>
      </c>
      <c r="K237" s="5" t="inlineStr">
        <is>
          <t>Casos y Escenarios FuBank.xlsx</t>
        </is>
      </c>
      <c r="L237" s="5" t="inlineStr">
        <is>
          <t>Ingresar una tasa anual de 0%.</t>
        </is>
      </c>
      <c r="M237" s="5" t="inlineStr">
        <is>
          <t>Sin resultado en el Excel</t>
        </is>
      </c>
      <c r="N237" s="9" t="inlineStr">
        <is>
          <t>Pendiente</t>
        </is>
      </c>
      <c r="O237" s="5" t="inlineStr">
        <is>
          <t>-</t>
        </is>
      </c>
      <c r="P237" s="5" t="inlineStr">
        <is>
          <t>Excel (hoja Casos de Prueba Detallado)</t>
        </is>
      </c>
      <c r="Q237" s="5" t="inlineStr">
        <is>
          <t>-</t>
        </is>
      </c>
    </row>
    <row r="238">
      <c r="A238" s="5" t="inlineStr">
        <is>
          <t>Andrés Bedoya</t>
        </is>
      </c>
      <c r="B238" s="5" t="inlineStr">
        <is>
          <t>Créditos</t>
        </is>
      </c>
      <c r="C238" s="5" t="inlineStr">
        <is>
          <t>HU-27</t>
        </is>
      </c>
      <c r="D238" s="5" t="inlineStr">
        <is>
          <t>Simulación de crédito</t>
        </is>
      </c>
      <c r="E238" s="5" t="inlineStr">
        <is>
          <t>ESC006</t>
        </is>
      </c>
      <c r="F238" s="5" t="inlineStr">
        <is>
          <t>CP009</t>
        </is>
      </c>
      <c r="G238" s="5" t="inlineStr">
        <is>
          <t>Tasa negativa</t>
        </is>
      </c>
      <c r="H238" s="5" t="inlineStr">
        <is>
          <t>Sistema</t>
        </is>
      </c>
      <c r="I238" s="5" t="inlineStr">
        <is>
          <t>Funcional</t>
        </is>
      </c>
      <c r="J238" s="5" t="inlineStr">
        <is>
          <t>Casos del Excel (diseño + ejecución manual)</t>
        </is>
      </c>
      <c r="K238" s="5" t="inlineStr">
        <is>
          <t>Casos y Escenarios FuBank.xlsx</t>
        </is>
      </c>
      <c r="L238" s="5" t="inlineStr">
        <is>
          <t>Ingresar una tasa anual menor a 0%.</t>
        </is>
      </c>
      <c r="M238" s="5" t="inlineStr">
        <is>
          <t>Sin resultado en el Excel</t>
        </is>
      </c>
      <c r="N238" s="9" t="inlineStr">
        <is>
          <t>Pendiente</t>
        </is>
      </c>
      <c r="O238" s="5" t="inlineStr">
        <is>
          <t>-</t>
        </is>
      </c>
      <c r="P238" s="5" t="inlineStr">
        <is>
          <t>Excel (hoja Casos de Prueba Detallado)</t>
        </is>
      </c>
      <c r="Q238" s="5" t="inlineStr">
        <is>
          <t>-</t>
        </is>
      </c>
    </row>
    <row r="239">
      <c r="A239" s="5" t="inlineStr">
        <is>
          <t>Andrés Bedoya</t>
        </is>
      </c>
      <c r="B239" s="5" t="inlineStr">
        <is>
          <t>Créditos</t>
        </is>
      </c>
      <c r="C239" s="5" t="inlineStr">
        <is>
          <t>HU-27</t>
        </is>
      </c>
      <c r="D239" s="5" t="inlineStr">
        <is>
          <t>Simulación de crédito</t>
        </is>
      </c>
      <c r="E239" s="5" t="inlineStr">
        <is>
          <t>ESC007</t>
        </is>
      </c>
      <c r="F239" s="5" t="inlineStr">
        <is>
          <t>CP010</t>
        </is>
      </c>
      <c r="G239" s="5" t="inlineStr">
        <is>
          <t>Tasa superior al límite</t>
        </is>
      </c>
      <c r="H239" s="5" t="inlineStr">
        <is>
          <t>Sistema</t>
        </is>
      </c>
      <c r="I239" s="5" t="inlineStr">
        <is>
          <t>Funcional</t>
        </is>
      </c>
      <c r="J239" s="5" t="inlineStr">
        <is>
          <t>Casos del Excel (diseño + ejecución manual)</t>
        </is>
      </c>
      <c r="K239" s="5" t="inlineStr">
        <is>
          <t>Casos y Escenarios FuBank.xlsx</t>
        </is>
      </c>
      <c r="L239" s="5" t="inlineStr">
        <is>
          <t>Ingresar una tasa anual de 101%.</t>
        </is>
      </c>
      <c r="M239" s="5" t="inlineStr">
        <is>
          <t>Sin resultado en el Excel</t>
        </is>
      </c>
      <c r="N239" s="9" t="inlineStr">
        <is>
          <t>Pendiente</t>
        </is>
      </c>
      <c r="O239" s="5" t="inlineStr">
        <is>
          <t>-</t>
        </is>
      </c>
      <c r="P239" s="5" t="inlineStr">
        <is>
          <t>Excel (hoja Casos de Prueba Detallado)</t>
        </is>
      </c>
      <c r="Q239" s="5" t="inlineStr">
        <is>
          <t>-</t>
        </is>
      </c>
    </row>
    <row r="240">
      <c r="A240" s="5" t="inlineStr">
        <is>
          <t>Andrés Bedoya</t>
        </is>
      </c>
      <c r="B240" s="5" t="inlineStr">
        <is>
          <t>Créditos</t>
        </is>
      </c>
      <c r="C240" s="5" t="inlineStr">
        <is>
          <t>HU-27</t>
        </is>
      </c>
      <c r="D240" s="5" t="inlineStr">
        <is>
          <t>Simulación de crédito</t>
        </is>
      </c>
      <c r="E240" s="5" t="inlineStr">
        <is>
          <t>loans-a11y.cy.ts</t>
        </is>
      </c>
      <c r="F240" s="5" t="inlineStr">
        <is>
          <t>CYC-278</t>
        </is>
      </c>
      <c r="G240" s="5" t="inlineStr">
        <is>
          <t>audita la accesibilidad en la pantalla de inicio de sesión</t>
        </is>
      </c>
      <c r="H240" s="5" t="inlineStr">
        <is>
          <t>Sistema (E2E, backend simulado con cy.intercept)</t>
        </is>
      </c>
      <c r="I240" s="5" t="inlineStr">
        <is>
          <t>Accesibilidad</t>
        </is>
      </c>
      <c r="J240" s="5" t="inlineStr">
        <is>
          <t>Cypress (Créditos, mocks)</t>
        </is>
      </c>
      <c r="K240" s="5" t="inlineStr">
        <is>
          <t>cypress/e2e/**/loans-a11y.cy.ts</t>
        </is>
      </c>
      <c r="L240" s="5" t="inlineStr">
        <is>
          <t>audita la accesibilidad en la pantalla de inicio de sesión</t>
        </is>
      </c>
      <c r="M240" s="5" t="inlineStr">
        <is>
          <t>Pasó</t>
        </is>
      </c>
      <c r="N240" s="7" t="inlineStr">
        <is>
          <t>Aprobado</t>
        </is>
      </c>
      <c r="O240" s="5" t="inlineStr">
        <is>
          <t>2026-10-27</t>
        </is>
      </c>
      <c r="P240" s="5" t="inlineStr">
        <is>
          <t>docs/evidencia-final-equipo/cypress-creditos.json</t>
        </is>
      </c>
      <c r="Q240" s="5" t="inlineStr">
        <is>
          <t>-</t>
        </is>
      </c>
    </row>
    <row r="241">
      <c r="A241" s="5" t="inlineStr">
        <is>
          <t>Andrés Bedoya</t>
        </is>
      </c>
      <c r="B241" s="5" t="inlineStr">
        <is>
          <t>Créditos</t>
        </is>
      </c>
      <c r="C241" s="5" t="inlineStr">
        <is>
          <t>HU-27</t>
        </is>
      </c>
      <c r="D241" s="5" t="inlineStr">
        <is>
          <t>Simulación de crédito</t>
        </is>
      </c>
      <c r="E241" s="5" t="inlineStr">
        <is>
          <t>loans-a11y.cy.ts</t>
        </is>
      </c>
      <c r="F241" s="5" t="inlineStr">
        <is>
          <t>CYC-279</t>
        </is>
      </c>
      <c r="G241" s="5" t="inlineStr">
        <is>
          <t>audita la accesibilidad en el módulo de créditos tras autenticarse</t>
        </is>
      </c>
      <c r="H241" s="5" t="inlineStr">
        <is>
          <t>Sistema (E2E, backend simulado con cy.intercept)</t>
        </is>
      </c>
      <c r="I241" s="5" t="inlineStr">
        <is>
          <t>Accesibilidad</t>
        </is>
      </c>
      <c r="J241" s="5" t="inlineStr">
        <is>
          <t>Cypress (Créditos, mocks)</t>
        </is>
      </c>
      <c r="K241" s="5" t="inlineStr">
        <is>
          <t>cypress/e2e/**/loans-a11y.cy.ts</t>
        </is>
      </c>
      <c r="L241" s="5" t="inlineStr">
        <is>
          <t>audita la accesibilidad en el módulo de créditos tras autenticarse</t>
        </is>
      </c>
      <c r="M241" s="5" t="inlineStr">
        <is>
          <t>Pasó</t>
        </is>
      </c>
      <c r="N241" s="7" t="inlineStr">
        <is>
          <t>Aprobado</t>
        </is>
      </c>
      <c r="O241" s="5" t="inlineStr">
        <is>
          <t>2026-10-27</t>
        </is>
      </c>
      <c r="P241" s="5" t="inlineStr">
        <is>
          <t>docs/evidencia-final-equipo/cypress-creditos.json</t>
        </is>
      </c>
      <c r="Q241" s="5" t="inlineStr">
        <is>
          <t>-</t>
        </is>
      </c>
    </row>
    <row r="242">
      <c r="A242" s="5" t="inlineStr">
        <is>
          <t>Andrés Bedoya</t>
        </is>
      </c>
      <c r="B242" s="5" t="inlineStr">
        <is>
          <t>Créditos</t>
        </is>
      </c>
      <c r="C242" s="5" t="inlineStr">
        <is>
          <t>HU-27</t>
        </is>
      </c>
      <c r="D242" s="5" t="inlineStr">
        <is>
          <t>Simulación de crédito</t>
        </is>
      </c>
      <c r="E242" s="5" t="inlineStr">
        <is>
          <t>loans-api.cy.ts</t>
        </is>
      </c>
      <c r="F242" s="5" t="inlineStr">
        <is>
          <t>CYC-280</t>
        </is>
      </c>
      <c r="G242" s="5" t="inlineStr">
        <is>
          <t>calcula la simulación de un préstamo válido correctamente en el backend (HTTP 200)</t>
        </is>
      </c>
      <c r="H242" s="5" t="inlineStr">
        <is>
          <t>Sistema (E2E, backend simulado con cy.intercept)</t>
        </is>
      </c>
      <c r="I242" s="5" t="inlineStr">
        <is>
          <t>Funcional (API)</t>
        </is>
      </c>
      <c r="J242" s="5" t="inlineStr">
        <is>
          <t>Cypress (Créditos, mocks)</t>
        </is>
      </c>
      <c r="K242" s="5" t="inlineStr">
        <is>
          <t>cypress/e2e/**/loans-api.cy.ts</t>
        </is>
      </c>
      <c r="L242" s="5" t="inlineStr">
        <is>
          <t>calcula la simulación de un préstamo válido correctamente en el backend (HTTP 200)</t>
        </is>
      </c>
      <c r="M242" s="5" t="inlineStr">
        <is>
          <t>Pasó</t>
        </is>
      </c>
      <c r="N242" s="7" t="inlineStr">
        <is>
          <t>Aprobado</t>
        </is>
      </c>
      <c r="O242" s="5" t="inlineStr">
        <is>
          <t>2026-10-27</t>
        </is>
      </c>
      <c r="P242" s="5" t="inlineStr">
        <is>
          <t>docs/evidencia-final-equipo/cypress-creditos.json</t>
        </is>
      </c>
      <c r="Q242" s="5" t="inlineStr">
        <is>
          <t>-</t>
        </is>
      </c>
    </row>
    <row r="243">
      <c r="A243" s="5" t="inlineStr">
        <is>
          <t>Andrés Bedoya</t>
        </is>
      </c>
      <c r="B243" s="5" t="inlineStr">
        <is>
          <t>Créditos</t>
        </is>
      </c>
      <c r="C243" s="5" t="inlineStr">
        <is>
          <t>HU-27</t>
        </is>
      </c>
      <c r="D243" s="5" t="inlineStr">
        <is>
          <t>Simulación de crédito</t>
        </is>
      </c>
      <c r="E243" s="5" t="inlineStr">
        <is>
          <t>loans-api.cy.ts</t>
        </is>
      </c>
      <c r="F243" s="5" t="inlineStr">
        <is>
          <t>CYC-281</t>
        </is>
      </c>
      <c r="G243" s="5" t="inlineStr">
        <is>
          <t>rechaza montos inválidos o negativos (HTTP 400)</t>
        </is>
      </c>
      <c r="H243" s="5" t="inlineStr">
        <is>
          <t>Sistema (E2E, backend simulado con cy.intercept)</t>
        </is>
      </c>
      <c r="I243" s="5" t="inlineStr">
        <is>
          <t>Funcional (API)</t>
        </is>
      </c>
      <c r="J243" s="5" t="inlineStr">
        <is>
          <t>Cypress (Créditos, mocks)</t>
        </is>
      </c>
      <c r="K243" s="5" t="inlineStr">
        <is>
          <t>cypress/e2e/**/loans-api.cy.ts</t>
        </is>
      </c>
      <c r="L243" s="5" t="inlineStr">
        <is>
          <t>rechaza montos inválidos o negativos (HTTP 400)</t>
        </is>
      </c>
      <c r="M243" s="5" t="inlineStr">
        <is>
          <t>Pasó</t>
        </is>
      </c>
      <c r="N243" s="7" t="inlineStr">
        <is>
          <t>Aprobado</t>
        </is>
      </c>
      <c r="O243" s="5" t="inlineStr">
        <is>
          <t>2026-10-27</t>
        </is>
      </c>
      <c r="P243" s="5" t="inlineStr">
        <is>
          <t>docs/evidencia-final-equipo/cypress-creditos.json</t>
        </is>
      </c>
      <c r="Q243" s="5" t="inlineStr">
        <is>
          <t>-</t>
        </is>
      </c>
    </row>
    <row r="244">
      <c r="A244" s="5" t="inlineStr">
        <is>
          <t>Andrés Bedoya</t>
        </is>
      </c>
      <c r="B244" s="5" t="inlineStr">
        <is>
          <t>Créditos</t>
        </is>
      </c>
      <c r="C244" s="5" t="inlineStr">
        <is>
          <t>HU-27</t>
        </is>
      </c>
      <c r="D244" s="5" t="inlineStr">
        <is>
          <t>Simulación de crédito</t>
        </is>
      </c>
      <c r="E244" s="5" t="inlineStr">
        <is>
          <t>loans-api.cy.ts</t>
        </is>
      </c>
      <c r="F244" s="5" t="inlineStr">
        <is>
          <t>CYC-282</t>
        </is>
      </c>
      <c r="G244" s="5" t="inlineStr">
        <is>
          <t>rechaza número de cuotas en cero o negativas (HTTP 400)</t>
        </is>
      </c>
      <c r="H244" s="5" t="inlineStr">
        <is>
          <t>Sistema (E2E, backend simulado con cy.intercept)</t>
        </is>
      </c>
      <c r="I244" s="5" t="inlineStr">
        <is>
          <t>Funcional (API)</t>
        </is>
      </c>
      <c r="J244" s="5" t="inlineStr">
        <is>
          <t>Cypress (Créditos, mocks)</t>
        </is>
      </c>
      <c r="K244" s="5" t="inlineStr">
        <is>
          <t>cypress/e2e/**/loans-api.cy.ts</t>
        </is>
      </c>
      <c r="L244" s="5" t="inlineStr">
        <is>
          <t>rechaza número de cuotas en cero o negativas (HTTP 400)</t>
        </is>
      </c>
      <c r="M244" s="5" t="inlineStr">
        <is>
          <t>Pasó</t>
        </is>
      </c>
      <c r="N244" s="7" t="inlineStr">
        <is>
          <t>Aprobado</t>
        </is>
      </c>
      <c r="O244" s="5" t="inlineStr">
        <is>
          <t>2026-10-27</t>
        </is>
      </c>
      <c r="P244" s="5" t="inlineStr">
        <is>
          <t>docs/evidencia-final-equipo/cypress-creditos.json</t>
        </is>
      </c>
      <c r="Q244" s="5" t="inlineStr">
        <is>
          <t>-</t>
        </is>
      </c>
    </row>
    <row r="245">
      <c r="A245" s="5" t="inlineStr">
        <is>
          <t>Andrés Bedoya</t>
        </is>
      </c>
      <c r="B245" s="5" t="inlineStr">
        <is>
          <t>Créditos</t>
        </is>
      </c>
      <c r="C245" s="5" t="inlineStr">
        <is>
          <t>HU-27</t>
        </is>
      </c>
      <c r="D245" s="5" t="inlineStr">
        <is>
          <t>Simulación de crédito</t>
        </is>
      </c>
      <c r="E245" s="5" t="inlineStr">
        <is>
          <t>loans-api.cy.ts</t>
        </is>
      </c>
      <c r="F245" s="5" t="inlineStr">
        <is>
          <t>CYC-283</t>
        </is>
      </c>
      <c r="G245" s="5" t="inlineStr">
        <is>
          <t>rechaza simulación sin cabecera de autenticación (HTTP 401)</t>
        </is>
      </c>
      <c r="H245" s="5" t="inlineStr">
        <is>
          <t>Sistema (E2E, backend simulado con cy.intercept)</t>
        </is>
      </c>
      <c r="I245" s="5" t="inlineStr">
        <is>
          <t>Funcional (API)</t>
        </is>
      </c>
      <c r="J245" s="5" t="inlineStr">
        <is>
          <t>Cypress (Créditos, mocks)</t>
        </is>
      </c>
      <c r="K245" s="5" t="inlineStr">
        <is>
          <t>cypress/e2e/**/loans-api.cy.ts</t>
        </is>
      </c>
      <c r="L245" s="5" t="inlineStr">
        <is>
          <t>rechaza simulación sin cabecera de autenticación (HTTP 401)</t>
        </is>
      </c>
      <c r="M245" s="5" t="inlineStr">
        <is>
          <t>Pasó</t>
        </is>
      </c>
      <c r="N245" s="7" t="inlineStr">
        <is>
          <t>Aprobado</t>
        </is>
      </c>
      <c r="O245" s="5" t="inlineStr">
        <is>
          <t>2026-10-27</t>
        </is>
      </c>
      <c r="P245" s="5" t="inlineStr">
        <is>
          <t>docs/evidencia-final-equipo/cypress-creditos.json</t>
        </is>
      </c>
      <c r="Q245" s="5" t="inlineStr">
        <is>
          <t>-</t>
        </is>
      </c>
    </row>
    <row r="246">
      <c r="A246" s="5" t="inlineStr">
        <is>
          <t>Andrés Bedoya</t>
        </is>
      </c>
      <c r="B246" s="5" t="inlineStr">
        <is>
          <t>Créditos</t>
        </is>
      </c>
      <c r="C246" s="5" t="inlineStr">
        <is>
          <t>HU-27</t>
        </is>
      </c>
      <c r="D246" s="5" t="inlineStr">
        <is>
          <t>Simulación de crédito</t>
        </is>
      </c>
      <c r="E246" s="5" t="inlineStr">
        <is>
          <t>loans-api.cy.ts</t>
        </is>
      </c>
      <c r="F246" s="5" t="inlineStr">
        <is>
          <t>CYC-284</t>
        </is>
      </c>
      <c r="G246" s="5" t="inlineStr">
        <is>
          <t>rechaza token JWT con firma alterada o corrupta (HTTP 401)</t>
        </is>
      </c>
      <c r="H246" s="5" t="inlineStr">
        <is>
          <t>Sistema (E2E, backend simulado con cy.intercept)</t>
        </is>
      </c>
      <c r="I246" s="5" t="inlineStr">
        <is>
          <t>Funcional (API)</t>
        </is>
      </c>
      <c r="J246" s="5" t="inlineStr">
        <is>
          <t>Cypress (Créditos, mocks)</t>
        </is>
      </c>
      <c r="K246" s="5" t="inlineStr">
        <is>
          <t>cypress/e2e/**/loans-api.cy.ts</t>
        </is>
      </c>
      <c r="L246" s="5" t="inlineStr">
        <is>
          <t>rechaza token JWT con firma alterada o corrupta (HTTP 401)</t>
        </is>
      </c>
      <c r="M246" s="5" t="inlineStr">
        <is>
          <t>Pasó</t>
        </is>
      </c>
      <c r="N246" s="7" t="inlineStr">
        <is>
          <t>Aprobado</t>
        </is>
      </c>
      <c r="O246" s="5" t="inlineStr">
        <is>
          <t>2026-10-27</t>
        </is>
      </c>
      <c r="P246" s="5" t="inlineStr">
        <is>
          <t>docs/evidencia-final-equipo/cypress-creditos.json</t>
        </is>
      </c>
      <c r="Q246" s="5" t="inlineStr">
        <is>
          <t>-</t>
        </is>
      </c>
    </row>
    <row r="247">
      <c r="A247" s="5" t="inlineStr">
        <is>
          <t>Andrés Bedoya</t>
        </is>
      </c>
      <c r="B247" s="5" t="inlineStr">
        <is>
          <t>Créditos</t>
        </is>
      </c>
      <c r="C247" s="5" t="inlineStr">
        <is>
          <t>HU-27</t>
        </is>
      </c>
      <c r="D247" s="5" t="inlineStr">
        <is>
          <t>Simulación de crédito</t>
        </is>
      </c>
      <c r="E247" s="5" t="inlineStr">
        <is>
          <t>loans-lifecycle.cy.ts</t>
        </is>
      </c>
      <c r="F247" s="5" t="inlineStr">
        <is>
          <t>CYC-285</t>
        </is>
      </c>
      <c r="G247" s="5" t="inlineStr">
        <is>
          <t>permite al cliente simular un préstamo con cálculo en tiempo real</t>
        </is>
      </c>
      <c r="H247" s="5" t="inlineStr">
        <is>
          <t>Sistema (E2E, backend simulado con cy.intercept)</t>
        </is>
      </c>
      <c r="I247" s="5" t="inlineStr">
        <is>
          <t>Regresión</t>
        </is>
      </c>
      <c r="J247" s="5" t="inlineStr">
        <is>
          <t>Cypress (Créditos, mocks)</t>
        </is>
      </c>
      <c r="K247" s="5" t="inlineStr">
        <is>
          <t>cypress/e2e/**/loans-lifecycle.cy.ts</t>
        </is>
      </c>
      <c r="L247" s="5" t="inlineStr">
        <is>
          <t>permite al cliente simular un préstamo con cálculo en tiempo real</t>
        </is>
      </c>
      <c r="M247" s="5" t="inlineStr">
        <is>
          <t>Pasó</t>
        </is>
      </c>
      <c r="N247" s="7" t="inlineStr">
        <is>
          <t>Aprobado</t>
        </is>
      </c>
      <c r="O247" s="5" t="inlineStr">
        <is>
          <t>2026-10-27</t>
        </is>
      </c>
      <c r="P247" s="5" t="inlineStr">
        <is>
          <t>docs/evidencia-final-equipo/cypress-creditos.json</t>
        </is>
      </c>
      <c r="Q247" s="5" t="inlineStr">
        <is>
          <t>-</t>
        </is>
      </c>
    </row>
    <row r="248">
      <c r="A248" s="5" t="inlineStr">
        <is>
          <t>Andrés Bedoya</t>
        </is>
      </c>
      <c r="B248" s="5" t="inlineStr">
        <is>
          <t>Créditos</t>
        </is>
      </c>
      <c r="C248" s="5" t="inlineStr">
        <is>
          <t>HU-27</t>
        </is>
      </c>
      <c r="D248" s="5" t="inlineStr">
        <is>
          <t>Simulación de crédito</t>
        </is>
      </c>
      <c r="E248" s="5" t="inlineStr">
        <is>
          <t>loans-lifecycle.cy.ts</t>
        </is>
      </c>
      <c r="F248" s="5" t="inlineStr">
        <is>
          <t>CYC-286</t>
        </is>
      </c>
      <c r="G248" s="5" t="inlineStr">
        <is>
          <t>permite al administrador revisar y auditar las solicitudes de créditos</t>
        </is>
      </c>
      <c r="H248" s="5" t="inlineStr">
        <is>
          <t>Sistema (E2E, backend simulado con cy.intercept)</t>
        </is>
      </c>
      <c r="I248" s="5" t="inlineStr">
        <is>
          <t>Regresión</t>
        </is>
      </c>
      <c r="J248" s="5" t="inlineStr">
        <is>
          <t>Cypress (Créditos, mocks)</t>
        </is>
      </c>
      <c r="K248" s="5" t="inlineStr">
        <is>
          <t>cypress/e2e/**/loans-lifecycle.cy.ts</t>
        </is>
      </c>
      <c r="L248" s="5" t="inlineStr">
        <is>
          <t>permite al administrador revisar y auditar las solicitudes de créditos</t>
        </is>
      </c>
      <c r="M248" s="5" t="inlineStr">
        <is>
          <t>Pasó</t>
        </is>
      </c>
      <c r="N248" s="7" t="inlineStr">
        <is>
          <t>Aprobado</t>
        </is>
      </c>
      <c r="O248" s="5" t="inlineStr">
        <is>
          <t>2026-10-27</t>
        </is>
      </c>
      <c r="P248" s="5" t="inlineStr">
        <is>
          <t>docs/evidencia-final-equipo/cypress-creditos.json</t>
        </is>
      </c>
      <c r="Q248" s="5" t="inlineStr">
        <is>
          <t>-</t>
        </is>
      </c>
    </row>
    <row r="249">
      <c r="A249" s="5" t="inlineStr">
        <is>
          <t>Andrés Bedoya</t>
        </is>
      </c>
      <c r="B249" s="5" t="inlineStr">
        <is>
          <t>Créditos</t>
        </is>
      </c>
      <c r="C249" s="5" t="inlineStr">
        <is>
          <t>HU-27</t>
        </is>
      </c>
      <c r="D249" s="5" t="inlineStr">
        <is>
          <t>Simulación de crédito</t>
        </is>
      </c>
      <c r="E249" s="5" t="inlineStr">
        <is>
          <t>loans-calculator-ui.cy.ts</t>
        </is>
      </c>
      <c r="F249" s="5" t="inlineStr">
        <is>
          <t>CYC-287</t>
        </is>
      </c>
      <c r="G249" s="5" t="inlineStr">
        <is>
          <t>carga los valores iniciales por defecto en el simulador</t>
        </is>
      </c>
      <c r="H249" s="5" t="inlineStr">
        <is>
          <t>Sistema (E2E, backend simulado con cy.intercept)</t>
        </is>
      </c>
      <c r="I249" s="5" t="inlineStr">
        <is>
          <t>Funcional (UI)</t>
        </is>
      </c>
      <c r="J249" s="5" t="inlineStr">
        <is>
          <t>Cypress (Créditos, mocks)</t>
        </is>
      </c>
      <c r="K249" s="5" t="inlineStr">
        <is>
          <t>cypress/e2e/**/loans-calculator-ui.cy.ts</t>
        </is>
      </c>
      <c r="L249" s="5" t="inlineStr">
        <is>
          <t>carga los valores iniciales por defecto en el simulador</t>
        </is>
      </c>
      <c r="M249" s="5" t="inlineStr">
        <is>
          <t>Pasó</t>
        </is>
      </c>
      <c r="N249" s="7" t="inlineStr">
        <is>
          <t>Aprobado</t>
        </is>
      </c>
      <c r="O249" s="5" t="inlineStr">
        <is>
          <t>2026-10-27</t>
        </is>
      </c>
      <c r="P249" s="5" t="inlineStr">
        <is>
          <t>docs/evidencia-final-equipo/cypress-creditos.json</t>
        </is>
      </c>
      <c r="Q249" s="5" t="inlineStr">
        <is>
          <t>-</t>
        </is>
      </c>
    </row>
    <row r="250">
      <c r="A250" s="5" t="inlineStr">
        <is>
          <t>Andrés Bedoya</t>
        </is>
      </c>
      <c r="B250" s="5" t="inlineStr">
        <is>
          <t>Créditos</t>
        </is>
      </c>
      <c r="C250" s="5" t="inlineStr">
        <is>
          <t>HU-27</t>
        </is>
      </c>
      <c r="D250" s="5" t="inlineStr">
        <is>
          <t>Simulación de crédito</t>
        </is>
      </c>
      <c r="E250" s="5" t="inlineStr">
        <is>
          <t>loans-calculator-ui.cy.ts</t>
        </is>
      </c>
      <c r="F250" s="5" t="inlineStr">
        <is>
          <t>CYC-288</t>
        </is>
      </c>
      <c r="G250" s="5" t="inlineStr">
        <is>
          <t>permite limpiar y digitar nuevos valores numéricos con el teclado</t>
        </is>
      </c>
      <c r="H250" s="5" t="inlineStr">
        <is>
          <t>Sistema (E2E, backend simulado con cy.intercept)</t>
        </is>
      </c>
      <c r="I250" s="5" t="inlineStr">
        <is>
          <t>Funcional (UI)</t>
        </is>
      </c>
      <c r="J250" s="5" t="inlineStr">
        <is>
          <t>Cypress (Créditos, mocks)</t>
        </is>
      </c>
      <c r="K250" s="5" t="inlineStr">
        <is>
          <t>cypress/e2e/**/loans-calculator-ui.cy.ts</t>
        </is>
      </c>
      <c r="L250" s="5" t="inlineStr">
        <is>
          <t>permite limpiar y digitar nuevos valores numéricos con el teclado</t>
        </is>
      </c>
      <c r="M250" s="5" t="inlineStr">
        <is>
          <t>Pasó</t>
        </is>
      </c>
      <c r="N250" s="7" t="inlineStr">
        <is>
          <t>Aprobado</t>
        </is>
      </c>
      <c r="O250" s="5" t="inlineStr">
        <is>
          <t>2026-10-27</t>
        </is>
      </c>
      <c r="P250" s="5" t="inlineStr">
        <is>
          <t>docs/evidencia-final-equipo/cypress-creditos.json</t>
        </is>
      </c>
      <c r="Q250" s="5" t="inlineStr">
        <is>
          <t>-</t>
        </is>
      </c>
    </row>
    <row r="251">
      <c r="A251" s="5" t="inlineStr">
        <is>
          <t>Andrés Bedoya</t>
        </is>
      </c>
      <c r="B251" s="5" t="inlineStr">
        <is>
          <t>Créditos</t>
        </is>
      </c>
      <c r="C251" s="5" t="inlineStr">
        <is>
          <t>HU-27</t>
        </is>
      </c>
      <c r="D251" s="5" t="inlineStr">
        <is>
          <t>Simulación de crédito</t>
        </is>
      </c>
      <c r="E251" s="5" t="inlineStr">
        <is>
          <t>loans-calculator-ui.cy.ts</t>
        </is>
      </c>
      <c r="F251" s="5" t="inlineStr">
        <is>
          <t>CYC-289</t>
        </is>
      </c>
      <c r="G251" s="5" t="inlineStr">
        <is>
          <t>muestra la caja de resultados formateada al simular con éxito</t>
        </is>
      </c>
      <c r="H251" s="5" t="inlineStr">
        <is>
          <t>Sistema (E2E, backend simulado con cy.intercept)</t>
        </is>
      </c>
      <c r="I251" s="5" t="inlineStr">
        <is>
          <t>Funcional (UI)</t>
        </is>
      </c>
      <c r="J251" s="5" t="inlineStr">
        <is>
          <t>Cypress (Créditos, mocks)</t>
        </is>
      </c>
      <c r="K251" s="5" t="inlineStr">
        <is>
          <t>cypress/e2e/**/loans-calculator-ui.cy.ts</t>
        </is>
      </c>
      <c r="L251" s="5" t="inlineStr">
        <is>
          <t>muestra la caja de resultados formateada al simular con éxito</t>
        </is>
      </c>
      <c r="M251" s="5" t="inlineStr">
        <is>
          <t>Pasó</t>
        </is>
      </c>
      <c r="N251" s="7" t="inlineStr">
        <is>
          <t>Aprobado</t>
        </is>
      </c>
      <c r="O251" s="5" t="inlineStr">
        <is>
          <t>2026-10-27</t>
        </is>
      </c>
      <c r="P251" s="5" t="inlineStr">
        <is>
          <t>docs/evidencia-final-equipo/cypress-creditos.json</t>
        </is>
      </c>
      <c r="Q251" s="5" t="inlineStr">
        <is>
          <t>-</t>
        </is>
      </c>
    </row>
    <row r="252">
      <c r="A252" s="5" t="inlineStr">
        <is>
          <t>Andrés Bedoya</t>
        </is>
      </c>
      <c r="B252" s="5" t="inlineStr">
        <is>
          <t>Créditos</t>
        </is>
      </c>
      <c r="C252" s="5" t="inlineStr">
        <is>
          <t>HU-27</t>
        </is>
      </c>
      <c r="D252" s="5" t="inlineStr">
        <is>
          <t>Simulación de crédito</t>
        </is>
      </c>
      <c r="E252" s="5" t="inlineStr">
        <is>
          <t>loans-calculator-ui.cy.ts</t>
        </is>
      </c>
      <c r="F252" s="5" t="inlineStr">
        <is>
          <t>CYC-290</t>
        </is>
      </c>
      <c r="G252" s="5" t="inlineStr">
        <is>
          <t>renderiza adecuadamente en resoluciones móviles y de escritorio</t>
        </is>
      </c>
      <c r="H252" s="5" t="inlineStr">
        <is>
          <t>Sistema (E2E, backend simulado con cy.intercept)</t>
        </is>
      </c>
      <c r="I252" s="5" t="inlineStr">
        <is>
          <t>Funcional (UI)</t>
        </is>
      </c>
      <c r="J252" s="5" t="inlineStr">
        <is>
          <t>Cypress (Créditos, mocks)</t>
        </is>
      </c>
      <c r="K252" s="5" t="inlineStr">
        <is>
          <t>cypress/e2e/**/loans-calculator-ui.cy.ts</t>
        </is>
      </c>
      <c r="L252" s="5" t="inlineStr">
        <is>
          <t>renderiza adecuadamente en resoluciones móviles y de escritorio</t>
        </is>
      </c>
      <c r="M252" s="5" t="inlineStr">
        <is>
          <t>Pasó</t>
        </is>
      </c>
      <c r="N252" s="7" t="inlineStr">
        <is>
          <t>Aprobado</t>
        </is>
      </c>
      <c r="O252" s="5" t="inlineStr">
        <is>
          <t>2026-10-27</t>
        </is>
      </c>
      <c r="P252" s="5" t="inlineStr">
        <is>
          <t>docs/evidencia-final-equipo/cypress-creditos.json</t>
        </is>
      </c>
      <c r="Q252" s="5" t="inlineStr">
        <is>
          <t>-</t>
        </is>
      </c>
    </row>
    <row r="253">
      <c r="A253" s="5" t="inlineStr">
        <is>
          <t>Andrés Bedoya</t>
        </is>
      </c>
      <c r="B253" s="5" t="inlineStr">
        <is>
          <t>Créditos</t>
        </is>
      </c>
      <c r="C253" s="5" t="inlineStr">
        <is>
          <t>HU-27</t>
        </is>
      </c>
      <c r="D253" s="5" t="inlineStr">
        <is>
          <t>Simulación de crédito</t>
        </is>
      </c>
      <c r="E253" s="5" t="inlineStr">
        <is>
          <t>loans-security.cy.ts</t>
        </is>
      </c>
      <c r="F253" s="5" t="inlineStr">
        <is>
          <t>CYC-291</t>
        </is>
      </c>
      <c r="G253" s="5" t="inlineStr">
        <is>
          <t>verifica que los endpoints expongan cabeceras de seguridad HTTP</t>
        </is>
      </c>
      <c r="H253" s="5" t="inlineStr">
        <is>
          <t>Sistema (E2E, backend simulado con cy.intercept)</t>
        </is>
      </c>
      <c r="I253" s="5" t="inlineStr">
        <is>
          <t>Seguridad</t>
        </is>
      </c>
      <c r="J253" s="5" t="inlineStr">
        <is>
          <t>Cypress (Créditos, mocks)</t>
        </is>
      </c>
      <c r="K253" s="5" t="inlineStr">
        <is>
          <t>cypress/e2e/**/loans-security.cy.ts</t>
        </is>
      </c>
      <c r="L253" s="5" t="inlineStr">
        <is>
          <t>verifica que los endpoints expongan cabeceras de seguridad HTTP</t>
        </is>
      </c>
      <c r="M253" s="5" t="inlineStr">
        <is>
          <t>Pasó</t>
        </is>
      </c>
      <c r="N253" s="7" t="inlineStr">
        <is>
          <t>Aprobado</t>
        </is>
      </c>
      <c r="O253" s="5" t="inlineStr">
        <is>
          <t>2026-10-27</t>
        </is>
      </c>
      <c r="P253" s="5" t="inlineStr">
        <is>
          <t>docs/evidencia-final-equipo/cypress-creditos.json</t>
        </is>
      </c>
      <c r="Q253" s="5" t="inlineStr">
        <is>
          <t>-</t>
        </is>
      </c>
    </row>
    <row r="254">
      <c r="A254" s="5" t="inlineStr">
        <is>
          <t>Andrés Bedoya</t>
        </is>
      </c>
      <c r="B254" s="5" t="inlineStr">
        <is>
          <t>Créditos</t>
        </is>
      </c>
      <c r="C254" s="5" t="inlineStr">
        <is>
          <t>HU-27</t>
        </is>
      </c>
      <c r="D254" s="5" t="inlineStr">
        <is>
          <t>Simulación de crédito</t>
        </is>
      </c>
      <c r="E254" s="5" t="inlineStr">
        <is>
          <t>loans-security.cy.ts</t>
        </is>
      </c>
      <c r="F254" s="5" t="inlineStr">
        <is>
          <t>CYC-292</t>
        </is>
      </c>
      <c r="G254" s="5" t="inlineStr">
        <is>
          <t>rechaza credenciales inválidas y muestra alerta semántica accesible (role=alert)</t>
        </is>
      </c>
      <c r="H254" s="5" t="inlineStr">
        <is>
          <t>Sistema (E2E, backend simulado con cy.intercept)</t>
        </is>
      </c>
      <c r="I254" s="5" t="inlineStr">
        <is>
          <t>Seguridad</t>
        </is>
      </c>
      <c r="J254" s="5" t="inlineStr">
        <is>
          <t>Cypress (Créditos, mocks)</t>
        </is>
      </c>
      <c r="K254" s="5" t="inlineStr">
        <is>
          <t>cypress/e2e/**/loans-security.cy.ts</t>
        </is>
      </c>
      <c r="L254" s="5" t="inlineStr">
        <is>
          <t>rechaza credenciales inválidas y muestra alerta semántica accesible (role=alert)</t>
        </is>
      </c>
      <c r="M254" s="5" t="inlineStr">
        <is>
          <t>Pasó</t>
        </is>
      </c>
      <c r="N254" s="7" t="inlineStr">
        <is>
          <t>Aprobado</t>
        </is>
      </c>
      <c r="O254" s="5" t="inlineStr">
        <is>
          <t>2026-10-27</t>
        </is>
      </c>
      <c r="P254" s="5" t="inlineStr">
        <is>
          <t>docs/evidencia-final-equipo/cypress-creditos.json</t>
        </is>
      </c>
      <c r="Q254" s="5" t="inlineStr">
        <is>
          <t>-</t>
        </is>
      </c>
    </row>
    <row r="255">
      <c r="A255" s="5" t="inlineStr">
        <is>
          <t>Andrés Bedoya</t>
        </is>
      </c>
      <c r="B255" s="5" t="inlineStr">
        <is>
          <t>Créditos</t>
        </is>
      </c>
      <c r="C255" s="5" t="inlineStr">
        <is>
          <t>HU-27</t>
        </is>
      </c>
      <c r="D255" s="5" t="inlineStr">
        <is>
          <t>Simulación de crédito</t>
        </is>
      </c>
      <c r="E255" s="5" t="inlineStr">
        <is>
          <t>loans-security.cy.ts</t>
        </is>
      </c>
      <c r="F255" s="5" t="inlineStr">
        <is>
          <t>CYC-293</t>
        </is>
      </c>
      <c r="G255" s="5" t="inlineStr">
        <is>
          <t>redirige a /login cuando un usuario no autenticado intenta visitar /loans</t>
        </is>
      </c>
      <c r="H255" s="5" t="inlineStr">
        <is>
          <t>Sistema (E2E, backend simulado con cy.intercept)</t>
        </is>
      </c>
      <c r="I255" s="5" t="inlineStr">
        <is>
          <t>Seguridad</t>
        </is>
      </c>
      <c r="J255" s="5" t="inlineStr">
        <is>
          <t>Cypress (Créditos, mocks)</t>
        </is>
      </c>
      <c r="K255" s="5" t="inlineStr">
        <is>
          <t>cypress/e2e/**/loans-security.cy.ts</t>
        </is>
      </c>
      <c r="L255" s="5" t="inlineStr">
        <is>
          <t>redirige a /login cuando un usuario no autenticado intenta visitar /loans</t>
        </is>
      </c>
      <c r="M255" s="5" t="inlineStr">
        <is>
          <t>Pasó</t>
        </is>
      </c>
      <c r="N255" s="7" t="inlineStr">
        <is>
          <t>Aprobado</t>
        </is>
      </c>
      <c r="O255" s="5" t="inlineStr">
        <is>
          <t>2026-10-27</t>
        </is>
      </c>
      <c r="P255" s="5" t="inlineStr">
        <is>
          <t>docs/evidencia-final-equipo/cypress-creditos.json</t>
        </is>
      </c>
      <c r="Q255" s="5" t="inlineStr">
        <is>
          <t>-</t>
        </is>
      </c>
    </row>
    <row r="256">
      <c r="A256" s="5" t="inlineStr">
        <is>
          <t>Andrés Bedoya</t>
        </is>
      </c>
      <c r="B256" s="5" t="inlineStr">
        <is>
          <t>Créditos</t>
        </is>
      </c>
      <c r="C256" s="5" t="inlineStr">
        <is>
          <t>HU-27</t>
        </is>
      </c>
      <c r="D256" s="5" t="inlineStr">
        <is>
          <t>Simulación de crédito</t>
        </is>
      </c>
      <c r="E256" s="5" t="inlineStr">
        <is>
          <t>loans-security.cy.ts</t>
        </is>
      </c>
      <c r="F256" s="5" t="inlineStr">
        <is>
          <t>CYC-294</t>
        </is>
      </c>
      <c r="G256" s="5" t="inlineStr">
        <is>
          <t>redirige a /login cuando un usuario no autenticado intenta visitar /admin/loans</t>
        </is>
      </c>
      <c r="H256" s="5" t="inlineStr">
        <is>
          <t>Sistema (E2E, backend simulado con cy.intercept)</t>
        </is>
      </c>
      <c r="I256" s="5" t="inlineStr">
        <is>
          <t>Seguridad</t>
        </is>
      </c>
      <c r="J256" s="5" t="inlineStr">
        <is>
          <t>Cypress (Créditos, mocks)</t>
        </is>
      </c>
      <c r="K256" s="5" t="inlineStr">
        <is>
          <t>cypress/e2e/**/loans-security.cy.ts</t>
        </is>
      </c>
      <c r="L256" s="5" t="inlineStr">
        <is>
          <t>redirige a /login cuando un usuario no autenticado intenta visitar /admin/loans</t>
        </is>
      </c>
      <c r="M256" s="5" t="inlineStr">
        <is>
          <t>Pasó</t>
        </is>
      </c>
      <c r="N256" s="7" t="inlineStr">
        <is>
          <t>Aprobado</t>
        </is>
      </c>
      <c r="O256" s="5" t="inlineStr">
        <is>
          <t>2026-10-27</t>
        </is>
      </c>
      <c r="P256" s="5" t="inlineStr">
        <is>
          <t>docs/evidencia-final-equipo/cypress-creditos.json</t>
        </is>
      </c>
      <c r="Q256" s="5" t="inlineStr">
        <is>
          <t>-</t>
        </is>
      </c>
    </row>
    <row r="257">
      <c r="A257" s="5" t="inlineStr">
        <is>
          <t>Andrés Bedoya</t>
        </is>
      </c>
      <c r="B257" s="5" t="inlineStr">
        <is>
          <t>Créditos</t>
        </is>
      </c>
      <c r="C257" s="5" t="inlineStr">
        <is>
          <t>HU-27</t>
        </is>
      </c>
      <c r="D257" s="5" t="inlineStr">
        <is>
          <t>Simulación de crédito</t>
        </is>
      </c>
      <c r="E257" s="5" t="inlineStr">
        <is>
          <t>loans-security.cy.ts</t>
        </is>
      </c>
      <c r="F257" s="5" t="inlineStr">
        <is>
          <t>CYC-295</t>
        </is>
      </c>
      <c r="G257" s="5" t="inlineStr">
        <is>
          <t>rechaza solicitudes con tokens JWT alterados o inválidos (HTTP 401)</t>
        </is>
      </c>
      <c r="H257" s="5" t="inlineStr">
        <is>
          <t>Sistema (E2E, backend simulado con cy.intercept)</t>
        </is>
      </c>
      <c r="I257" s="5" t="inlineStr">
        <is>
          <t>Seguridad</t>
        </is>
      </c>
      <c r="J257" s="5" t="inlineStr">
        <is>
          <t>Cypress (Créditos, mocks)</t>
        </is>
      </c>
      <c r="K257" s="5" t="inlineStr">
        <is>
          <t>cypress/e2e/**/loans-security.cy.ts</t>
        </is>
      </c>
      <c r="L257" s="5" t="inlineStr">
        <is>
          <t>rechaza solicitudes con tokens JWT alterados o inválidos (HTTP 401)</t>
        </is>
      </c>
      <c r="M257" s="5" t="inlineStr">
        <is>
          <t>Pasó</t>
        </is>
      </c>
      <c r="N257" s="7" t="inlineStr">
        <is>
          <t>Aprobado</t>
        </is>
      </c>
      <c r="O257" s="5" t="inlineStr">
        <is>
          <t>2026-10-27</t>
        </is>
      </c>
      <c r="P257" s="5" t="inlineStr">
        <is>
          <t>docs/evidencia-final-equipo/cypress-creditos.json</t>
        </is>
      </c>
      <c r="Q257" s="5" t="inlineStr">
        <is>
          <t>-</t>
        </is>
      </c>
    </row>
    <row r="258">
      <c r="A258" s="5" t="inlineStr">
        <is>
          <t>Andrés Bedoya</t>
        </is>
      </c>
      <c r="B258" s="5" t="inlineStr">
        <is>
          <t>Créditos</t>
        </is>
      </c>
      <c r="C258" s="5" t="inlineStr">
        <is>
          <t>HU-27</t>
        </is>
      </c>
      <c r="D258" s="5" t="inlineStr">
        <is>
          <t>Simulación de crédito</t>
        </is>
      </c>
      <c r="E258" s="5" t="inlineStr">
        <is>
          <t>Cypress Cloud + AI</t>
        </is>
      </c>
      <c r="F258" s="5" t="inlineStr">
        <is>
          <t>CCA-creditos-ai-prompt</t>
        </is>
      </c>
      <c r="G258" s="5" t="inlineStr">
        <is>
          <t>creditos-ai-prompt</t>
        </is>
      </c>
      <c r="H258" s="5" t="inlineStr">
        <is>
          <t>Sistema (E2E con IA)</t>
        </is>
      </c>
      <c r="I258" s="5" t="inlineStr">
        <is>
          <t>Funcional</t>
        </is>
      </c>
      <c r="J258" s="5" t="inlineStr">
        <is>
          <t>IA · Cypress Cloud + cy.prompt (Andrés)</t>
        </is>
      </c>
      <c r="K258" s="5" t="inlineStr">
        <is>
          <t>herramientas-bedoya/02-cypress-cloud-ai/e2e/creditos-ai-prompt.cy.ts</t>
        </is>
      </c>
      <c r="L258" s="5" t="inlineStr">
        <is>
          <t>Ver spec</t>
        </is>
      </c>
      <c r="M258" s="5" t="inlineStr">
        <is>
          <t>4/4 en Cypress Cloud según el documento del responsable</t>
        </is>
      </c>
      <c r="N258" s="8" t="inlineStr">
        <is>
          <t>Aprobado (reportado)</t>
        </is>
      </c>
      <c r="O258" s="5" t="inlineStr">
        <is>
          <t>2026-10-26</t>
        </is>
      </c>
      <c r="P258" s="5" t="inlineStr">
        <is>
          <t>https://cloud.cypress.io/projects/ypgf2b/runs</t>
        </is>
      </c>
      <c r="Q258" s="5" t="inlineStr">
        <is>
          <t>-</t>
        </is>
      </c>
    </row>
    <row r="259">
      <c r="A259" s="5" t="inlineStr">
        <is>
          <t>Andrés Bedoya</t>
        </is>
      </c>
      <c r="B259" s="5" t="inlineStr">
        <is>
          <t>Créditos</t>
        </is>
      </c>
      <c r="C259" s="5" t="inlineStr">
        <is>
          <t>HU-27</t>
        </is>
      </c>
      <c r="D259" s="5" t="inlineStr">
        <is>
          <t>Simulación de crédito</t>
        </is>
      </c>
      <c r="E259" s="5" t="inlineStr">
        <is>
          <t>Cypress Cloud + AI</t>
        </is>
      </c>
      <c r="F259" s="5" t="inlineStr">
        <is>
          <t>CCA-creditos-studio</t>
        </is>
      </c>
      <c r="G259" s="5" t="inlineStr">
        <is>
          <t>creditos-studio</t>
        </is>
      </c>
      <c r="H259" s="5" t="inlineStr">
        <is>
          <t>Sistema (E2E con IA)</t>
        </is>
      </c>
      <c r="I259" s="5" t="inlineStr">
        <is>
          <t>Funcional</t>
        </is>
      </c>
      <c r="J259" s="5" t="inlineStr">
        <is>
          <t>IA · Cypress Cloud + cy.prompt (Andrés)</t>
        </is>
      </c>
      <c r="K259" s="5" t="inlineStr">
        <is>
          <t>herramientas-bedoya/02-cypress-cloud-ai/e2e/creditos-studio.cy.ts</t>
        </is>
      </c>
      <c r="L259" s="5" t="inlineStr">
        <is>
          <t>Ver spec</t>
        </is>
      </c>
      <c r="M259" s="5" t="inlineStr">
        <is>
          <t>4/4 en Cypress Cloud según el documento del responsable</t>
        </is>
      </c>
      <c r="N259" s="8" t="inlineStr">
        <is>
          <t>Aprobado (reportado)</t>
        </is>
      </c>
      <c r="O259" s="5" t="inlineStr">
        <is>
          <t>2026-10-26</t>
        </is>
      </c>
      <c r="P259" s="5" t="inlineStr">
        <is>
          <t>https://cloud.cypress.io/projects/ypgf2b/runs</t>
        </is>
      </c>
      <c r="Q259" s="5" t="inlineStr">
        <is>
          <t>-</t>
        </is>
      </c>
    </row>
    <row r="260">
      <c r="A260" s="5" t="inlineStr">
        <is>
          <t>Andrés Bedoya</t>
        </is>
      </c>
      <c r="B260" s="5" t="inlineStr">
        <is>
          <t>Créditos</t>
        </is>
      </c>
      <c r="C260" s="5" t="inlineStr">
        <is>
          <t>HU-27</t>
        </is>
      </c>
      <c r="D260" s="5" t="inlineStr">
        <is>
          <t>Simulación de crédito</t>
        </is>
      </c>
      <c r="E260" s="5" t="inlineStr">
        <is>
          <t>Playwright MCP</t>
        </is>
      </c>
      <c r="F260" s="5" t="inlineStr">
        <is>
          <t>MCP-01</t>
        </is>
      </c>
      <c r="G260" s="5" t="inlineStr">
        <is>
          <t>Simulación de crédito vía Playwright MCP</t>
        </is>
      </c>
      <c r="H260" s="5" t="inlineStr">
        <is>
          <t>Sistema (E2E con IA)</t>
        </is>
      </c>
      <c r="I260" s="5" t="inlineStr">
        <is>
          <t>Funcional</t>
        </is>
      </c>
      <c r="J260" s="5" t="inlineStr">
        <is>
          <t>IA · Playwright MCP (Andrés)</t>
        </is>
      </c>
      <c r="K260" s="5" t="inlineStr">
        <is>
          <t>herramientas-bedoya/01-mcp-playwright</t>
        </is>
      </c>
      <c r="L260" s="5" t="inlineStr">
        <is>
          <t>Simulación con desglose visible</t>
        </is>
      </c>
      <c r="M260" s="5" t="inlineStr">
        <is>
          <t>Según mcp-execution-report.json del responsable</t>
        </is>
      </c>
      <c r="N260" s="8" t="inlineStr">
        <is>
          <t>Aprobado (reportado)</t>
        </is>
      </c>
      <c r="O260" s="5" t="inlineStr">
        <is>
          <t>2026-10-26</t>
        </is>
      </c>
      <c r="P260" s="5" t="inlineStr">
        <is>
          <t>herramientas-bedoya/01-mcp-playwright/evidence/</t>
        </is>
      </c>
      <c r="Q260" s="5" t="inlineStr">
        <is>
          <t>-</t>
        </is>
      </c>
    </row>
    <row r="261">
      <c r="A261" s="5" t="inlineStr">
        <is>
          <t>Andrés Bedoya</t>
        </is>
      </c>
      <c r="B261" s="5" t="inlineStr">
        <is>
          <t>Créditos</t>
        </is>
      </c>
      <c r="C261" s="5" t="inlineStr">
        <is>
          <t>HU-27</t>
        </is>
      </c>
      <c r="D261" s="5" t="inlineStr">
        <is>
          <t>Simulación de crédito</t>
        </is>
      </c>
      <c r="E261" s="5" t="inlineStr">
        <is>
          <t>ReportPortal</t>
        </is>
      </c>
      <c r="F261" s="5" t="inlineStr">
        <is>
          <t>RP-01</t>
        </is>
      </c>
      <c r="G261" s="5" t="inlineStr">
        <is>
          <t>Reportes separados Cypress y Playwright en ReportPortal (:8088)</t>
        </is>
      </c>
      <c r="H261" s="5" t="inlineStr">
        <is>
          <t>Observabilidad</t>
        </is>
      </c>
      <c r="I261" s="5" t="inlineStr">
        <is>
          <t>Reporte</t>
        </is>
      </c>
      <c r="J261" s="5" t="inlineStr">
        <is>
          <t>IA · ReportPortal (Andrés)</t>
        </is>
      </c>
      <c r="K261" s="5" t="inlineStr">
        <is>
          <t>herramientas-bedoya/03-reportportal</t>
        </is>
      </c>
      <c r="L261" s="5" t="inlineStr">
        <is>
          <t>Dos launches independientes</t>
        </is>
      </c>
      <c r="M261" s="5" t="inlineStr">
        <is>
          <t>Según el documento del responsable</t>
        </is>
      </c>
      <c r="N261" s="8" t="inlineStr">
        <is>
          <t>Aprobado (reportado)</t>
        </is>
      </c>
      <c r="O261" s="5" t="inlineStr">
        <is>
          <t>2026-10-26</t>
        </is>
      </c>
      <c r="P261" s="5" t="inlineStr">
        <is>
          <t>herramientas-bedoya/README.md</t>
        </is>
      </c>
      <c r="Q261" s="5" t="inlineStr">
        <is>
          <t>-</t>
        </is>
      </c>
    </row>
    <row r="262">
      <c r="A262" s="5" t="inlineStr">
        <is>
          <t>Andrés Bedoya</t>
        </is>
      </c>
      <c r="B262" s="5" t="inlineStr">
        <is>
          <t>Créditos</t>
        </is>
      </c>
      <c r="C262" s="5" t="inlineStr">
        <is>
          <t>HU-27</t>
        </is>
      </c>
      <c r="D262" s="5" t="inlineStr">
        <is>
          <t>Simulación de crédito</t>
        </is>
      </c>
      <c r="E262" s="5" t="inlineStr">
        <is>
          <t>Katalon Recorder</t>
        </is>
      </c>
      <c r="F262" s="5" t="inlineStr">
        <is>
          <t>Suite_07_Creditos</t>
        </is>
      </c>
      <c r="G262" s="5" t="inlineStr">
        <is>
          <t>Suite_07_Creditos (Andrés)</t>
        </is>
      </c>
      <c r="H262" s="5" t="inlineStr">
        <is>
          <t>Sistema (E2E)</t>
        </is>
      </c>
      <c r="I262" s="5" t="inlineStr">
        <is>
          <t>Funcional</t>
        </is>
      </c>
      <c r="J262" s="5" t="inlineStr">
        <is>
          <t>Katalon Recorder</t>
        </is>
      </c>
      <c r="K262" s="5" t="inlineStr">
        <is>
          <t>katalon/suites/Suite_07_Creditos.html</t>
        </is>
      </c>
      <c r="L262" s="5" t="inlineStr">
        <is>
          <t>Todos los casos de la suite pasan</t>
        </is>
      </c>
      <c r="M262" s="5" t="inlineStr">
        <is>
          <t>Sin resultado registrado en el repositorio</t>
        </is>
      </c>
      <c r="N262" s="6" t="inlineStr">
        <is>
          <t>Sin resultado registrado</t>
        </is>
      </c>
      <c r="O262" s="5" t="inlineStr">
        <is>
          <t>-</t>
        </is>
      </c>
      <c r="P262" s="5" t="inlineStr">
        <is>
          <t>-</t>
        </is>
      </c>
      <c r="Q262" s="5" t="inlineStr">
        <is>
          <t>-</t>
        </is>
      </c>
    </row>
    <row r="263">
      <c r="A263" s="5" t="inlineStr">
        <is>
          <t>Andrés Bedoya</t>
        </is>
      </c>
      <c r="B263" s="5" t="inlineStr">
        <is>
          <t>Créditos</t>
        </is>
      </c>
      <c r="C263" s="5" t="inlineStr">
        <is>
          <t>HU-27</t>
        </is>
      </c>
      <c r="D263" s="5" t="inlineStr">
        <is>
          <t>Simulación de crédito</t>
        </is>
      </c>
      <c r="E263" s="5" t="inlineStr">
        <is>
          <t>creditos.feature</t>
        </is>
      </c>
      <c r="F263" s="5" t="inlineStr">
        <is>
          <t>SJ-CRED-01</t>
        </is>
      </c>
      <c r="G263" s="5" t="inlineStr">
        <is>
          <t>Simulación exitosa de crédito con cálculo de cuota mensual</t>
        </is>
      </c>
      <c r="H263" s="5" t="inlineStr">
        <is>
          <t>Sistema (E2E)</t>
        </is>
      </c>
      <c r="I263" s="5" t="inlineStr">
        <is>
          <t>Funcional</t>
        </is>
      </c>
      <c r="J263" s="5" t="inlineStr">
        <is>
          <t>Serenity/JS Screenplay + Gherkin</t>
        </is>
      </c>
      <c r="K263" s="5" t="inlineStr">
        <is>
          <t>features/creditos/creditos.feature</t>
        </is>
      </c>
      <c r="L263" s="5" t="inlineStr">
        <is>
          <t>Simulación exitosa de crédito con cálculo de cuota mensual</t>
        </is>
      </c>
      <c r="M263" s="5" t="inlineStr">
        <is>
          <t>Todos los pasos pasaron</t>
        </is>
      </c>
      <c r="N263" s="7" t="inlineStr">
        <is>
          <t>Aprobado</t>
        </is>
      </c>
      <c r="O263" s="5" t="inlineStr">
        <is>
          <t>2026-10-27</t>
        </is>
      </c>
      <c r="P263" s="5" t="inlineStr">
        <is>
          <t>docs/evidencia-final-equipo/serenity-equipo-corrida.txt</t>
        </is>
      </c>
      <c r="Q263" s="5" t="inlineStr">
        <is>
          <t>-</t>
        </is>
      </c>
    </row>
    <row r="264">
      <c r="A264" s="5" t="inlineStr">
        <is>
          <t>Andrés Bedoya</t>
        </is>
      </c>
      <c r="B264" s="5" t="inlineStr">
        <is>
          <t>Créditos</t>
        </is>
      </c>
      <c r="C264" s="5" t="inlineStr">
        <is>
          <t>HU-27</t>
        </is>
      </c>
      <c r="D264" s="5" t="inlineStr">
        <is>
          <t>Simulación de crédito</t>
        </is>
      </c>
      <c r="E264" s="5" t="inlineStr">
        <is>
          <t>creditos.feature</t>
        </is>
      </c>
      <c r="F264" s="5" t="inlineStr">
        <is>
          <t>SJ-CRED-02</t>
        </is>
      </c>
      <c r="G264" s="5" t="inlineStr">
        <is>
          <t>Simulación con límites y valores de frontera</t>
        </is>
      </c>
      <c r="H264" s="5" t="inlineStr">
        <is>
          <t>Sistema (E2E)</t>
        </is>
      </c>
      <c r="I264" s="5" t="inlineStr">
        <is>
          <t>Funcional</t>
        </is>
      </c>
      <c r="J264" s="5" t="inlineStr">
        <is>
          <t>Serenity/JS Screenplay + Gherkin</t>
        </is>
      </c>
      <c r="K264" s="5" t="inlineStr">
        <is>
          <t>features/creditos/creditos.feature</t>
        </is>
      </c>
      <c r="L264" s="5" t="inlineStr">
        <is>
          <t>Simulación con límites y valores de frontera</t>
        </is>
      </c>
      <c r="M264" s="5" t="inlineStr">
        <is>
          <t>Todos los pasos pasaron</t>
        </is>
      </c>
      <c r="N264" s="7" t="inlineStr">
        <is>
          <t>Aprobado</t>
        </is>
      </c>
      <c r="O264" s="5" t="inlineStr">
        <is>
          <t>2026-10-27</t>
        </is>
      </c>
      <c r="P264" s="5" t="inlineStr">
        <is>
          <t>docs/evidencia-final-equipo/serenity-equipo-corrida.txt</t>
        </is>
      </c>
      <c r="Q264" s="5" t="inlineStr">
        <is>
          <t>-</t>
        </is>
      </c>
    </row>
    <row r="265">
      <c r="A265" s="5" t="inlineStr">
        <is>
          <t>Andrés Bedoya</t>
        </is>
      </c>
      <c r="B265" s="5" t="inlineStr">
        <is>
          <t>Créditos</t>
        </is>
      </c>
      <c r="C265" s="5" t="inlineStr">
        <is>
          <t>HU-27</t>
        </is>
      </c>
      <c r="D265" s="5" t="inlineStr">
        <is>
          <t>Simulación de crédito</t>
        </is>
      </c>
      <c r="E265" s="5" t="inlineStr">
        <is>
          <t>creditos.feature</t>
        </is>
      </c>
      <c r="F265" s="5" t="inlineStr">
        <is>
          <t>SJ-CRED-03</t>
        </is>
      </c>
      <c r="G265" s="5" t="inlineStr">
        <is>
          <t>Validación preventiva ante montos y cuotas en cero</t>
        </is>
      </c>
      <c r="H265" s="5" t="inlineStr">
        <is>
          <t>Sistema (E2E)</t>
        </is>
      </c>
      <c r="I265" s="5" t="inlineStr">
        <is>
          <t>Funcional</t>
        </is>
      </c>
      <c r="J265" s="5" t="inlineStr">
        <is>
          <t>Serenity/JS Screenplay + Gherkin</t>
        </is>
      </c>
      <c r="K265" s="5" t="inlineStr">
        <is>
          <t>features/creditos/creditos.feature</t>
        </is>
      </c>
      <c r="L265" s="5" t="inlineStr">
        <is>
          <t>Validación preventiva ante montos y cuotas en cero</t>
        </is>
      </c>
      <c r="M265" s="5" t="inlineStr">
        <is>
          <t>Todos los pasos pasaron</t>
        </is>
      </c>
      <c r="N265" s="7" t="inlineStr">
        <is>
          <t>Aprobado</t>
        </is>
      </c>
      <c r="O265" s="5" t="inlineStr">
        <is>
          <t>2026-10-27</t>
        </is>
      </c>
      <c r="P265" s="5" t="inlineStr">
        <is>
          <t>docs/evidencia-final-equipo/serenity-equipo-corrida.txt</t>
        </is>
      </c>
      <c r="Q265" s="5" t="inlineStr">
        <is>
          <t>-</t>
        </is>
      </c>
    </row>
    <row r="266">
      <c r="A266" s="5" t="inlineStr">
        <is>
          <t>Andrés Bedoya</t>
        </is>
      </c>
      <c r="B266" s="5" t="inlineStr">
        <is>
          <t>Créditos</t>
        </is>
      </c>
      <c r="C266" s="5" t="inlineStr">
        <is>
          <t>HU-27</t>
        </is>
      </c>
      <c r="D266" s="5" t="inlineStr">
        <is>
          <t>Simulación de crédito</t>
        </is>
      </c>
      <c r="E266" s="5" t="inlineStr">
        <is>
          <t>creditos.feature</t>
        </is>
      </c>
      <c r="F266" s="5" t="inlineStr">
        <is>
          <t>SJ-CRED-05</t>
        </is>
      </c>
      <c r="G266" s="5" t="inlineStr">
        <is>
          <t>Inspección de contenedores informativos y resumen de crédito</t>
        </is>
      </c>
      <c r="H266" s="5" t="inlineStr">
        <is>
          <t>Sistema (E2E)</t>
        </is>
      </c>
      <c r="I266" s="5" t="inlineStr">
        <is>
          <t>Funcional</t>
        </is>
      </c>
      <c r="J266" s="5" t="inlineStr">
        <is>
          <t>Serenity/JS Screenplay + Gherkin</t>
        </is>
      </c>
      <c r="K266" s="5" t="inlineStr">
        <is>
          <t>features/creditos/creditos.feature</t>
        </is>
      </c>
      <c r="L266" s="5" t="inlineStr">
        <is>
          <t>Inspección de contenedores informativos y resumen de crédito</t>
        </is>
      </c>
      <c r="M266" s="5" t="inlineStr">
        <is>
          <t>Todos los pasos pasaron</t>
        </is>
      </c>
      <c r="N266" s="7" t="inlineStr">
        <is>
          <t>Aprobado</t>
        </is>
      </c>
      <c r="O266" s="5" t="inlineStr">
        <is>
          <t>2026-10-27</t>
        </is>
      </c>
      <c r="P266" s="5" t="inlineStr">
        <is>
          <t>docs/evidencia-final-equipo/serenity-equipo-corrida.txt</t>
        </is>
      </c>
      <c r="Q266" s="5" t="inlineStr">
        <is>
          <t>-</t>
        </is>
      </c>
    </row>
    <row r="267">
      <c r="A267" s="5" t="inlineStr">
        <is>
          <t>Andrés Bedoya</t>
        </is>
      </c>
      <c r="B267" s="5" t="inlineStr">
        <is>
          <t>Créditos</t>
        </is>
      </c>
      <c r="C267" s="5" t="inlineStr">
        <is>
          <t>HU-27</t>
        </is>
      </c>
      <c r="D267" s="5" t="inlineStr">
        <is>
          <t>Simulación de crédito</t>
        </is>
      </c>
      <c r="E267" s="5" t="inlineStr">
        <is>
          <t>Stagehand</t>
        </is>
      </c>
      <c r="F267" s="5" t="inlineStr">
        <is>
          <t>SH-C01</t>
        </is>
      </c>
      <c r="G267" s="5" t="inlineStr">
        <is>
          <t>01-loans-simulator (act + extract)</t>
        </is>
      </c>
      <c r="H267" s="5" t="inlineStr">
        <is>
          <t>Sistema (E2E con IA)</t>
        </is>
      </c>
      <c r="I267" s="5" t="inlineStr">
        <is>
          <t>Funcional</t>
        </is>
      </c>
      <c r="J267" s="5" t="inlineStr">
        <is>
          <t>Stagehand (Gemini, Andrés)</t>
        </is>
      </c>
      <c r="K267" s="5" t="inlineStr">
        <is>
          <t>e2e/stagehand/src/scenarios/01-loans-simulator.ts</t>
        </is>
      </c>
      <c r="L267" s="5" t="inlineStr">
        <is>
          <t>Ver escenario</t>
        </is>
      </c>
      <c r="M267" s="5" t="inlineStr">
        <is>
          <t>APROBADO según EVIDENCIA_STAGEHAND.md del responsable</t>
        </is>
      </c>
      <c r="N267" s="8" t="inlineStr">
        <is>
          <t>Aprobado (reportado)</t>
        </is>
      </c>
      <c r="O267" s="5" t="inlineStr">
        <is>
          <t>2026-10-24</t>
        </is>
      </c>
      <c r="P267" s="5" t="inlineStr">
        <is>
          <t>e2e/stagehand/evidence/01-loans-simulator-report.json</t>
        </is>
      </c>
      <c r="Q267" s="5" t="inlineStr">
        <is>
          <t>-</t>
        </is>
      </c>
    </row>
    <row r="268">
      <c r="A268" s="5" t="inlineStr">
        <is>
          <t>Andrés Bedoya</t>
        </is>
      </c>
      <c r="B268" s="5" t="inlineStr">
        <is>
          <t>Créditos</t>
        </is>
      </c>
      <c r="C268" s="5" t="inlineStr">
        <is>
          <t>HU-27</t>
        </is>
      </c>
      <c r="D268" s="5" t="inlineStr">
        <is>
          <t>Simulación de crédito</t>
        </is>
      </c>
      <c r="E268" s="5" t="inlineStr">
        <is>
          <t>Vitest backend · unitaria</t>
        </is>
      </c>
      <c r="F268" s="5" t="inlineStr">
        <is>
          <t>VT-GetAllLoans.test</t>
        </is>
      </c>
      <c r="G268" s="5" t="inlineStr">
        <is>
          <t>GetAllLoans.test.ts (3 pruebas)</t>
        </is>
      </c>
      <c r="H268" s="5" t="inlineStr">
        <is>
          <t>Unitaria / Integración</t>
        </is>
      </c>
      <c r="I268" s="5" t="inlineStr">
        <is>
          <t>Funcional</t>
        </is>
      </c>
      <c r="J268" s="5" t="inlineStr">
        <is>
          <t>Vitest backend</t>
        </is>
      </c>
      <c r="K268" s="5" t="inlineStr">
        <is>
          <t>backend/src/tests/unit/loan/GetAllLoans.test.ts</t>
        </is>
      </c>
      <c r="L268" s="5" t="inlineStr">
        <is>
          <t>Todas las pruebas del archivo pasan</t>
        </is>
      </c>
      <c r="M268" s="5" t="inlineStr">
        <is>
          <t>3/3 pasan</t>
        </is>
      </c>
      <c r="N268" s="7" t="inlineStr">
        <is>
          <t>Aprobado</t>
        </is>
      </c>
      <c r="O268" s="5" t="inlineStr">
        <is>
          <t>2026-10-27</t>
        </is>
      </c>
      <c r="P268" s="5" t="inlineStr">
        <is>
          <t>docs/evidencia-final-equipo/vitest-backend.json</t>
        </is>
      </c>
      <c r="Q268" s="5" t="inlineStr">
        <is>
          <t>-</t>
        </is>
      </c>
    </row>
    <row r="269">
      <c r="A269" s="5" t="inlineStr">
        <is>
          <t>Andrés Bedoya</t>
        </is>
      </c>
      <c r="B269" s="5" t="inlineStr">
        <is>
          <t>Créditos</t>
        </is>
      </c>
      <c r="C269" s="5" t="inlineStr">
        <is>
          <t>HU-27</t>
        </is>
      </c>
      <c r="D269" s="5" t="inlineStr">
        <is>
          <t>Simulación de crédito</t>
        </is>
      </c>
      <c r="E269" s="5" t="inlineStr">
        <is>
          <t>Vitest backend · unitaria</t>
        </is>
      </c>
      <c r="F269" s="5" t="inlineStr">
        <is>
          <t>VT-GetUserLoans.test</t>
        </is>
      </c>
      <c r="G269" s="5" t="inlineStr">
        <is>
          <t>GetUserLoans.test.ts (3 pruebas)</t>
        </is>
      </c>
      <c r="H269" s="5" t="inlineStr">
        <is>
          <t>Unitaria / Integración</t>
        </is>
      </c>
      <c r="I269" s="5" t="inlineStr">
        <is>
          <t>Funcional</t>
        </is>
      </c>
      <c r="J269" s="5" t="inlineStr">
        <is>
          <t>Vitest backend</t>
        </is>
      </c>
      <c r="K269" s="5" t="inlineStr">
        <is>
          <t>backend/src/tests/unit/loan/GetUserLoans.test.ts</t>
        </is>
      </c>
      <c r="L269" s="5" t="inlineStr">
        <is>
          <t>Todas las pruebas del archivo pasan</t>
        </is>
      </c>
      <c r="M269" s="5" t="inlineStr">
        <is>
          <t>3/3 pasan</t>
        </is>
      </c>
      <c r="N269" s="7" t="inlineStr">
        <is>
          <t>Aprobado</t>
        </is>
      </c>
      <c r="O269" s="5" t="inlineStr">
        <is>
          <t>2026-10-27</t>
        </is>
      </c>
      <c r="P269" s="5" t="inlineStr">
        <is>
          <t>docs/evidencia-final-equipo/vitest-backend.json</t>
        </is>
      </c>
      <c r="Q269" s="5" t="inlineStr">
        <is>
          <t>-</t>
        </is>
      </c>
    </row>
    <row r="270">
      <c r="A270" s="5" t="inlineStr">
        <is>
          <t>Andrés Bedoya</t>
        </is>
      </c>
      <c r="B270" s="5" t="inlineStr">
        <is>
          <t>Créditos</t>
        </is>
      </c>
      <c r="C270" s="5" t="inlineStr">
        <is>
          <t>HU-27</t>
        </is>
      </c>
      <c r="D270" s="5" t="inlineStr">
        <is>
          <t>Simulación de crédito</t>
        </is>
      </c>
      <c r="E270" s="5" t="inlineStr">
        <is>
          <t>Vitest backend · unitaria</t>
        </is>
      </c>
      <c r="F270" s="5" t="inlineStr">
        <is>
          <t>VT-LoanApplication.entity.test</t>
        </is>
      </c>
      <c r="G270" s="5" t="inlineStr">
        <is>
          <t>LoanApplication.entity.test.ts (16 pruebas)</t>
        </is>
      </c>
      <c r="H270" s="5" t="inlineStr">
        <is>
          <t>Unitaria / Integración</t>
        </is>
      </c>
      <c r="I270" s="5" t="inlineStr">
        <is>
          <t>Funcional</t>
        </is>
      </c>
      <c r="J270" s="5" t="inlineStr">
        <is>
          <t>Vitest backend</t>
        </is>
      </c>
      <c r="K270" s="5" t="inlineStr">
        <is>
          <t>backend/src/tests/unit/loan/LoanApplication.entity.test.ts</t>
        </is>
      </c>
      <c r="L270" s="5" t="inlineStr">
        <is>
          <t>Todas las pruebas del archivo pasan</t>
        </is>
      </c>
      <c r="M270" s="5" t="inlineStr">
        <is>
          <t>16/16 pasan</t>
        </is>
      </c>
      <c r="N270" s="7" t="inlineStr">
        <is>
          <t>Aprobado</t>
        </is>
      </c>
      <c r="O270" s="5" t="inlineStr">
        <is>
          <t>2026-10-27</t>
        </is>
      </c>
      <c r="P270" s="5" t="inlineStr">
        <is>
          <t>docs/evidencia-final-equipo/vitest-backend.json</t>
        </is>
      </c>
      <c r="Q270" s="5" t="inlineStr">
        <is>
          <t>-</t>
        </is>
      </c>
    </row>
    <row r="271">
      <c r="A271" s="5" t="inlineStr">
        <is>
          <t>Andrés Bedoya</t>
        </is>
      </c>
      <c r="B271" s="5" t="inlineStr">
        <is>
          <t>Créditos</t>
        </is>
      </c>
      <c r="C271" s="5" t="inlineStr">
        <is>
          <t>HU-27</t>
        </is>
      </c>
      <c r="D271" s="5" t="inlineStr">
        <is>
          <t>Simulación de crédito</t>
        </is>
      </c>
      <c r="E271" s="5" t="inlineStr">
        <is>
          <t>Vitest backend · unitaria</t>
        </is>
      </c>
      <c r="F271" s="5" t="inlineStr">
        <is>
          <t>VT-LoanController.test</t>
        </is>
      </c>
      <c r="G271" s="5" t="inlineStr">
        <is>
          <t>LoanController.test.ts (13 pruebas)</t>
        </is>
      </c>
      <c r="H271" s="5" t="inlineStr">
        <is>
          <t>Unitaria / Integración</t>
        </is>
      </c>
      <c r="I271" s="5" t="inlineStr">
        <is>
          <t>Funcional</t>
        </is>
      </c>
      <c r="J271" s="5" t="inlineStr">
        <is>
          <t>Vitest backend</t>
        </is>
      </c>
      <c r="K271" s="5" t="inlineStr">
        <is>
          <t>backend/src/tests/unit/loan/LoanController.test.ts</t>
        </is>
      </c>
      <c r="L271" s="5" t="inlineStr">
        <is>
          <t>Todas las pruebas del archivo pasan</t>
        </is>
      </c>
      <c r="M271" s="5" t="inlineStr">
        <is>
          <t>13/13 pasan</t>
        </is>
      </c>
      <c r="N271" s="7" t="inlineStr">
        <is>
          <t>Aprobado</t>
        </is>
      </c>
      <c r="O271" s="5" t="inlineStr">
        <is>
          <t>2026-10-27</t>
        </is>
      </c>
      <c r="P271" s="5" t="inlineStr">
        <is>
          <t>docs/evidencia-final-equipo/vitest-backend.json</t>
        </is>
      </c>
      <c r="Q271" s="5" t="inlineStr">
        <is>
          <t>-</t>
        </is>
      </c>
    </row>
    <row r="272">
      <c r="A272" s="5" t="inlineStr">
        <is>
          <t>Andrés Bedoya</t>
        </is>
      </c>
      <c r="B272" s="5" t="inlineStr">
        <is>
          <t>Créditos</t>
        </is>
      </c>
      <c r="C272" s="5" t="inlineStr">
        <is>
          <t>HU-27</t>
        </is>
      </c>
      <c r="D272" s="5" t="inlineStr">
        <is>
          <t>Simulación de crédito</t>
        </is>
      </c>
      <c r="E272" s="5" t="inlineStr">
        <is>
          <t>Vitest backend · unitaria</t>
        </is>
      </c>
      <c r="F272" s="5" t="inlineStr">
        <is>
          <t>VT-SimulateLoan.test</t>
        </is>
      </c>
      <c r="G272" s="5" t="inlineStr">
        <is>
          <t>SimulateLoan.test.ts (6 pruebas)</t>
        </is>
      </c>
      <c r="H272" s="5" t="inlineStr">
        <is>
          <t>Unitaria / Integración</t>
        </is>
      </c>
      <c r="I272" s="5" t="inlineStr">
        <is>
          <t>Funcional</t>
        </is>
      </c>
      <c r="J272" s="5" t="inlineStr">
        <is>
          <t>Vitest backend</t>
        </is>
      </c>
      <c r="K272" s="5" t="inlineStr">
        <is>
          <t>backend/src/tests/unit/loan/SimulateLoan.test.ts</t>
        </is>
      </c>
      <c r="L272" s="5" t="inlineStr">
        <is>
          <t>Todas las pruebas del archivo pasan</t>
        </is>
      </c>
      <c r="M272" s="5" t="inlineStr">
        <is>
          <t>6/6 pasan</t>
        </is>
      </c>
      <c r="N272" s="7" t="inlineStr">
        <is>
          <t>Aprobado</t>
        </is>
      </c>
      <c r="O272" s="5" t="inlineStr">
        <is>
          <t>2026-10-27</t>
        </is>
      </c>
      <c r="P272" s="5" t="inlineStr">
        <is>
          <t>docs/evidencia-final-equipo/vitest-backend.json</t>
        </is>
      </c>
      <c r="Q272" s="5" t="inlineStr">
        <is>
          <t>-</t>
        </is>
      </c>
    </row>
    <row r="273">
      <c r="A273" s="5" t="inlineStr">
        <is>
          <t>Andrés Bedoya</t>
        </is>
      </c>
      <c r="B273" s="5" t="inlineStr">
        <is>
          <t>Créditos</t>
        </is>
      </c>
      <c r="C273" s="5" t="inlineStr">
        <is>
          <t>HU-27</t>
        </is>
      </c>
      <c r="D273" s="5" t="inlineStr">
        <is>
          <t>Simulación de crédito</t>
        </is>
      </c>
      <c r="E273" s="5" t="inlineStr">
        <is>
          <t>Vitest backend · unitaria</t>
        </is>
      </c>
      <c r="F273" s="5" t="inlineStr">
        <is>
          <t>VT-SupabaseLoanApplicationRepository.test</t>
        </is>
      </c>
      <c r="G273" s="5" t="inlineStr">
        <is>
          <t>SupabaseLoanApplicationRepository.test.ts (12 pruebas)</t>
        </is>
      </c>
      <c r="H273" s="5" t="inlineStr">
        <is>
          <t>Unitaria / Integración</t>
        </is>
      </c>
      <c r="I273" s="5" t="inlineStr">
        <is>
          <t>Funcional</t>
        </is>
      </c>
      <c r="J273" s="5" t="inlineStr">
        <is>
          <t>Vitest backend</t>
        </is>
      </c>
      <c r="K273" s="5" t="inlineStr">
        <is>
          <t>backend/src/tests/unit/loan/SupabaseLoanApplicationRepository.test.ts</t>
        </is>
      </c>
      <c r="L273" s="5" t="inlineStr">
        <is>
          <t>Todas las pruebas del archivo pasan</t>
        </is>
      </c>
      <c r="M273" s="5" t="inlineStr">
        <is>
          <t>12/12 pasan</t>
        </is>
      </c>
      <c r="N273" s="7" t="inlineStr">
        <is>
          <t>Aprobado</t>
        </is>
      </c>
      <c r="O273" s="5" t="inlineStr">
        <is>
          <t>2026-10-27</t>
        </is>
      </c>
      <c r="P273" s="5" t="inlineStr">
        <is>
          <t>docs/evidencia-final-equipo/vitest-backend.json</t>
        </is>
      </c>
      <c r="Q273" s="5" t="inlineStr">
        <is>
          <t>-</t>
        </is>
      </c>
    </row>
    <row r="274">
      <c r="A274" s="5" t="inlineStr">
        <is>
          <t>Andrés Bedoya</t>
        </is>
      </c>
      <c r="B274" s="5" t="inlineStr">
        <is>
          <t>Créditos</t>
        </is>
      </c>
      <c r="C274" s="5" t="inlineStr">
        <is>
          <t>HU-27</t>
        </is>
      </c>
      <c r="D274" s="5" t="inlineStr">
        <is>
          <t>Simulación de crédito</t>
        </is>
      </c>
      <c r="E274" s="5" t="inlineStr">
        <is>
          <t>Vitest backend · API</t>
        </is>
      </c>
      <c r="F274" s="5" t="inlineStr">
        <is>
          <t>VT-loan.api.test</t>
        </is>
      </c>
      <c r="G274" s="5" t="inlineStr">
        <is>
          <t>loan.api.test.ts (5 pruebas)</t>
        </is>
      </c>
      <c r="H274" s="5" t="inlineStr">
        <is>
          <t>Unitaria / Integración</t>
        </is>
      </c>
      <c r="I274" s="5" t="inlineStr">
        <is>
          <t>Funcional</t>
        </is>
      </c>
      <c r="J274" s="5" t="inlineStr">
        <is>
          <t>Vitest backend</t>
        </is>
      </c>
      <c r="K274" s="5" t="inlineStr">
        <is>
          <t>backend/src/tests/api/loan.api.test.ts</t>
        </is>
      </c>
      <c r="L274" s="5" t="inlineStr">
        <is>
          <t>Todas las pruebas del archivo pasan</t>
        </is>
      </c>
      <c r="M274" s="5" t="inlineStr">
        <is>
          <t>5/5 pasan</t>
        </is>
      </c>
      <c r="N274" s="7" t="inlineStr">
        <is>
          <t>Aprobado</t>
        </is>
      </c>
      <c r="O274" s="5" t="inlineStr">
        <is>
          <t>2026-10-27</t>
        </is>
      </c>
      <c r="P274" s="5" t="inlineStr">
        <is>
          <t>docs/evidencia-final-equipo/vitest-backend.json</t>
        </is>
      </c>
      <c r="Q274" s="5" t="inlineStr">
        <is>
          <t>-</t>
        </is>
      </c>
    </row>
    <row r="275">
      <c r="A275" s="5" t="inlineStr">
        <is>
          <t>Andrés Bedoya</t>
        </is>
      </c>
      <c r="B275" s="5" t="inlineStr">
        <is>
          <t>Créditos</t>
        </is>
      </c>
      <c r="C275" s="5" t="inlineStr">
        <is>
          <t>HU-27</t>
        </is>
      </c>
      <c r="D275" s="5" t="inlineStr">
        <is>
          <t>Simulación de crédito</t>
        </is>
      </c>
      <c r="E275" s="5" t="inlineStr">
        <is>
          <t>Vitest backend · performance</t>
        </is>
      </c>
      <c r="F275" s="5" t="inlineStr">
        <is>
          <t>VT-loan.performance.test</t>
        </is>
      </c>
      <c r="G275" s="5" t="inlineStr">
        <is>
          <t>loan.performance.test.ts (3 pruebas)</t>
        </is>
      </c>
      <c r="H275" s="5" t="inlineStr">
        <is>
          <t>Unitaria / Integración</t>
        </is>
      </c>
      <c r="I275" s="5" t="inlineStr">
        <is>
          <t>Rendimiento</t>
        </is>
      </c>
      <c r="J275" s="5" t="inlineStr">
        <is>
          <t>Vitest backend</t>
        </is>
      </c>
      <c r="K275" s="5" t="inlineStr">
        <is>
          <t>backend/src/tests/performance/loan.performance.test.ts</t>
        </is>
      </c>
      <c r="L275" s="5" t="inlineStr">
        <is>
          <t>Todas las pruebas del archivo pasan</t>
        </is>
      </c>
      <c r="M275" s="5" t="inlineStr">
        <is>
          <t>3/3 pasan (corrida aislada; en paralelo con la suite completa la auth excede 150 ms)</t>
        </is>
      </c>
      <c r="N275" s="7" t="inlineStr">
        <is>
          <t>Aprobado</t>
        </is>
      </c>
      <c r="O275" s="5" t="inlineStr">
        <is>
          <t>2026-10-27</t>
        </is>
      </c>
      <c r="P275" s="5" t="inlineStr">
        <is>
          <t>docs/evidencia-final-equipo/vitest-performance-aislado.json</t>
        </is>
      </c>
      <c r="Q275" s="5" t="inlineStr">
        <is>
          <t>-</t>
        </is>
      </c>
    </row>
    <row r="276">
      <c r="A276" s="5" t="inlineStr">
        <is>
          <t>Andrés Bedoya</t>
        </is>
      </c>
      <c r="B276" s="5" t="inlineStr">
        <is>
          <t>Créditos</t>
        </is>
      </c>
      <c r="C276" s="5" t="inlineStr">
        <is>
          <t>HU-27</t>
        </is>
      </c>
      <c r="D276" s="5" t="inlineStr">
        <is>
          <t>Simulación de crédito</t>
        </is>
      </c>
      <c r="E276" s="5" t="inlineStr">
        <is>
          <t>Vitest backend · regresión</t>
        </is>
      </c>
      <c r="F276" s="5" t="inlineStr">
        <is>
          <t>VT-loan.regression.test</t>
        </is>
      </c>
      <c r="G276" s="5" t="inlineStr">
        <is>
          <t>loan.regression.test.ts (5 pruebas)</t>
        </is>
      </c>
      <c r="H276" s="5" t="inlineStr">
        <is>
          <t>Unitaria / Integración</t>
        </is>
      </c>
      <c r="I276" s="5" t="inlineStr">
        <is>
          <t>Funcional</t>
        </is>
      </c>
      <c r="J276" s="5" t="inlineStr">
        <is>
          <t>Vitest backend</t>
        </is>
      </c>
      <c r="K276" s="5" t="inlineStr">
        <is>
          <t>backend/src/tests/regression/loan.regression.test.ts</t>
        </is>
      </c>
      <c r="L276" s="5" t="inlineStr">
        <is>
          <t>Todas las pruebas del archivo pasan</t>
        </is>
      </c>
      <c r="M276" s="5" t="inlineStr">
        <is>
          <t>5/5 pasan</t>
        </is>
      </c>
      <c r="N276" s="7" t="inlineStr">
        <is>
          <t>Aprobado</t>
        </is>
      </c>
      <c r="O276" s="5" t="inlineStr">
        <is>
          <t>2026-10-27</t>
        </is>
      </c>
      <c r="P276" s="5" t="inlineStr">
        <is>
          <t>docs/evidencia-final-equipo/vitest-backend.json</t>
        </is>
      </c>
      <c r="Q276" s="5" t="inlineStr">
        <is>
          <t>-</t>
        </is>
      </c>
    </row>
    <row r="277">
      <c r="A277" s="5" t="inlineStr">
        <is>
          <t>Andrés Bedoya</t>
        </is>
      </c>
      <c r="B277" s="5" t="inlineStr">
        <is>
          <t>Créditos</t>
        </is>
      </c>
      <c r="C277" s="5" t="inlineStr">
        <is>
          <t>HU-27</t>
        </is>
      </c>
      <c r="D277" s="5" t="inlineStr">
        <is>
          <t>Simulación de crédito</t>
        </is>
      </c>
      <c r="E277" s="5" t="inlineStr">
        <is>
          <t>Vitest backend · seguridad</t>
        </is>
      </c>
      <c r="F277" s="5" t="inlineStr">
        <is>
          <t>VT-loan.security.test</t>
        </is>
      </c>
      <c r="G277" s="5" t="inlineStr">
        <is>
          <t>loan.security.test.ts (13 pruebas)</t>
        </is>
      </c>
      <c r="H277" s="5" t="inlineStr">
        <is>
          <t>Unitaria / Integración</t>
        </is>
      </c>
      <c r="I277" s="5" t="inlineStr">
        <is>
          <t>Seguridad</t>
        </is>
      </c>
      <c r="J277" s="5" t="inlineStr">
        <is>
          <t>Vitest backend</t>
        </is>
      </c>
      <c r="K277" s="5" t="inlineStr">
        <is>
          <t>backend/src/tests/security/loan.security.test.ts</t>
        </is>
      </c>
      <c r="L277" s="5" t="inlineStr">
        <is>
          <t>Todas las pruebas del archivo pasan</t>
        </is>
      </c>
      <c r="M277" s="5" t="inlineStr">
        <is>
          <t>13/13 pasan</t>
        </is>
      </c>
      <c r="N277" s="7" t="inlineStr">
        <is>
          <t>Aprobado</t>
        </is>
      </c>
      <c r="O277" s="5" t="inlineStr">
        <is>
          <t>2026-10-27</t>
        </is>
      </c>
      <c r="P277" s="5" t="inlineStr">
        <is>
          <t>docs/evidencia-final-equipo/vitest-backend.json</t>
        </is>
      </c>
      <c r="Q277" s="5" t="inlineStr">
        <is>
          <t>-</t>
        </is>
      </c>
    </row>
    <row r="278">
      <c r="A278" s="5" t="inlineStr">
        <is>
          <t>Andrés Bedoya</t>
        </is>
      </c>
      <c r="B278" s="5" t="inlineStr">
        <is>
          <t>Créditos</t>
        </is>
      </c>
      <c r="C278" s="5" t="inlineStr">
        <is>
          <t>HU-27</t>
        </is>
      </c>
      <c r="D278" s="5" t="inlineStr">
        <is>
          <t>Simulación de crédito</t>
        </is>
      </c>
      <c r="E278" s="5" t="inlineStr">
        <is>
          <t>Vitest backend · unitaria</t>
        </is>
      </c>
      <c r="F278" s="5" t="inlineStr">
        <is>
          <t>VT-loan.validators.test</t>
        </is>
      </c>
      <c r="G278" s="5" t="inlineStr">
        <is>
          <t>loan.validators.test.ts (9 pruebas)</t>
        </is>
      </c>
      <c r="H278" s="5" t="inlineStr">
        <is>
          <t>Unitaria / Integración</t>
        </is>
      </c>
      <c r="I278" s="5" t="inlineStr">
        <is>
          <t>Funcional</t>
        </is>
      </c>
      <c r="J278" s="5" t="inlineStr">
        <is>
          <t>Vitest backend</t>
        </is>
      </c>
      <c r="K278" s="5" t="inlineStr">
        <is>
          <t>backend/src/tests/unit/loan/loan.validators.test.ts</t>
        </is>
      </c>
      <c r="L278" s="5" t="inlineStr">
        <is>
          <t>Todas las pruebas del archivo pasan</t>
        </is>
      </c>
      <c r="M278" s="5" t="inlineStr">
        <is>
          <t>9/9 pasan</t>
        </is>
      </c>
      <c r="N278" s="7" t="inlineStr">
        <is>
          <t>Aprobado</t>
        </is>
      </c>
      <c r="O278" s="5" t="inlineStr">
        <is>
          <t>2026-10-27</t>
        </is>
      </c>
      <c r="P278" s="5" t="inlineStr">
        <is>
          <t>docs/evidencia-final-equipo/vitest-backend.json</t>
        </is>
      </c>
      <c r="Q278" s="5" t="inlineStr">
        <is>
          <t>-</t>
        </is>
      </c>
    </row>
    <row r="279">
      <c r="A279" s="5" t="inlineStr">
        <is>
          <t>Andrés Bedoya</t>
        </is>
      </c>
      <c r="B279" s="5" t="inlineStr">
        <is>
          <t>Créditos</t>
        </is>
      </c>
      <c r="C279" s="5" t="inlineStr">
        <is>
          <t>HU-27</t>
        </is>
      </c>
      <c r="D279" s="5" t="inlineStr">
        <is>
          <t>Simulación de crédito</t>
        </is>
      </c>
      <c r="E279" s="5" t="inlineStr">
        <is>
          <t>Vitest backend · unitaria</t>
        </is>
      </c>
      <c r="F279" s="5" t="inlineStr">
        <is>
          <t>VT-loanResponseMapper.test</t>
        </is>
      </c>
      <c r="G279" s="5" t="inlineStr">
        <is>
          <t>loanResponseMapper.test.ts (2 pruebas)</t>
        </is>
      </c>
      <c r="H279" s="5" t="inlineStr">
        <is>
          <t>Unitaria / Integración</t>
        </is>
      </c>
      <c r="I279" s="5" t="inlineStr">
        <is>
          <t>Funcional</t>
        </is>
      </c>
      <c r="J279" s="5" t="inlineStr">
        <is>
          <t>Vitest backend</t>
        </is>
      </c>
      <c r="K279" s="5" t="inlineStr">
        <is>
          <t>backend/src/tests/unit/loan/loanResponseMapper.test.ts</t>
        </is>
      </c>
      <c r="L279" s="5" t="inlineStr">
        <is>
          <t>Todas las pruebas del archivo pasan</t>
        </is>
      </c>
      <c r="M279" s="5" t="inlineStr">
        <is>
          <t>2/2 pasan</t>
        </is>
      </c>
      <c r="N279" s="7" t="inlineStr">
        <is>
          <t>Aprobado</t>
        </is>
      </c>
      <c r="O279" s="5" t="inlineStr">
        <is>
          <t>2026-10-27</t>
        </is>
      </c>
      <c r="P279" s="5" t="inlineStr">
        <is>
          <t>docs/evidencia-final-equipo/vitest-backend.json</t>
        </is>
      </c>
      <c r="Q279" s="5" t="inlineStr">
        <is>
          <t>-</t>
        </is>
      </c>
    </row>
    <row r="280">
      <c r="A280" s="5" t="inlineStr">
        <is>
          <t>Andrés Bedoya</t>
        </is>
      </c>
      <c r="B280" s="5" t="inlineStr">
        <is>
          <t>Créditos</t>
        </is>
      </c>
      <c r="C280" s="5" t="inlineStr">
        <is>
          <t>HU-27</t>
        </is>
      </c>
      <c r="D280" s="5" t="inlineStr">
        <is>
          <t>Simulación de crédito</t>
        </is>
      </c>
      <c r="E280" s="5" t="inlineStr">
        <is>
          <t>Vitest frontend · unitaria</t>
        </is>
      </c>
      <c r="F280" s="5" t="inlineStr">
        <is>
          <t>VT-AdminLoansClient.test</t>
        </is>
      </c>
      <c r="G280" s="5" t="inlineStr">
        <is>
          <t>AdminLoansClient.test.tsx (8 pruebas)</t>
        </is>
      </c>
      <c r="H280" s="5" t="inlineStr">
        <is>
          <t>Unitaria / Integración</t>
        </is>
      </c>
      <c r="I280" s="5" t="inlineStr">
        <is>
          <t>Funcional</t>
        </is>
      </c>
      <c r="J280" s="5" t="inlineStr">
        <is>
          <t>Vitest frontend</t>
        </is>
      </c>
      <c r="K280" s="5" t="inlineStr">
        <is>
          <t>frontend/src/tests/unit/admin/AdminLoansClient.test.tsx</t>
        </is>
      </c>
      <c r="L280" s="5" t="inlineStr">
        <is>
          <t>Todas las pruebas del archivo pasan</t>
        </is>
      </c>
      <c r="M280" s="5" t="inlineStr">
        <is>
          <t>8/8 pasan</t>
        </is>
      </c>
      <c r="N280" s="7" t="inlineStr">
        <is>
          <t>Aprobado</t>
        </is>
      </c>
      <c r="O280" s="5" t="inlineStr">
        <is>
          <t>2026-10-27</t>
        </is>
      </c>
      <c r="P280" s="5" t="inlineStr">
        <is>
          <t>docs/evidencia-final-equipo/vitest-frontend.json</t>
        </is>
      </c>
      <c r="Q280" s="5" t="inlineStr">
        <is>
          <t>-</t>
        </is>
      </c>
    </row>
    <row r="281">
      <c r="A281" s="5" t="inlineStr">
        <is>
          <t>Andrés Bedoya</t>
        </is>
      </c>
      <c r="B281" s="5" t="inlineStr">
        <is>
          <t>Créditos</t>
        </is>
      </c>
      <c r="C281" s="5" t="inlineStr">
        <is>
          <t>HU-27</t>
        </is>
      </c>
      <c r="D281" s="5" t="inlineStr">
        <is>
          <t>Simulación de crédito</t>
        </is>
      </c>
      <c r="E281" s="5" t="inlineStr">
        <is>
          <t>Vitest frontend · unitaria</t>
        </is>
      </c>
      <c r="F281" s="5" t="inlineStr">
        <is>
          <t>VT-LoansClient.create.test</t>
        </is>
      </c>
      <c r="G281" s="5" t="inlineStr">
        <is>
          <t>LoansClient.create.test.tsx (12 pruebas)</t>
        </is>
      </c>
      <c r="H281" s="5" t="inlineStr">
        <is>
          <t>Unitaria / Integración</t>
        </is>
      </c>
      <c r="I281" s="5" t="inlineStr">
        <is>
          <t>Funcional</t>
        </is>
      </c>
      <c r="J281" s="5" t="inlineStr">
        <is>
          <t>Vitest frontend</t>
        </is>
      </c>
      <c r="K281" s="5" t="inlineStr">
        <is>
          <t>frontend/src/tests/unit/loans/LoansClient.create.test.tsx</t>
        </is>
      </c>
      <c r="L281" s="5" t="inlineStr">
        <is>
          <t>Todas las pruebas del archivo pasan</t>
        </is>
      </c>
      <c r="M281" s="5" t="inlineStr">
        <is>
          <t>12/12 pasan</t>
        </is>
      </c>
      <c r="N281" s="7" t="inlineStr">
        <is>
          <t>Aprobado</t>
        </is>
      </c>
      <c r="O281" s="5" t="inlineStr">
        <is>
          <t>2026-10-27</t>
        </is>
      </c>
      <c r="P281" s="5" t="inlineStr">
        <is>
          <t>docs/evidencia-final-equipo/vitest-frontend.json</t>
        </is>
      </c>
      <c r="Q281" s="5" t="inlineStr">
        <is>
          <t>-</t>
        </is>
      </c>
    </row>
    <row r="282">
      <c r="A282" s="5" t="inlineStr">
        <is>
          <t>Andrés Bedoya</t>
        </is>
      </c>
      <c r="B282" s="5" t="inlineStr">
        <is>
          <t>Créditos</t>
        </is>
      </c>
      <c r="C282" s="5" t="inlineStr">
        <is>
          <t>HU-27</t>
        </is>
      </c>
      <c r="D282" s="5" t="inlineStr">
        <is>
          <t>Simulación de crédito</t>
        </is>
      </c>
      <c r="E282" s="5" t="inlineStr">
        <is>
          <t>Vitest frontend · unitaria</t>
        </is>
      </c>
      <c r="F282" s="5" t="inlineStr">
        <is>
          <t>VT-LoansClient.list.test</t>
        </is>
      </c>
      <c r="G282" s="5" t="inlineStr">
        <is>
          <t>LoansClient.list.test.tsx (4 pruebas)</t>
        </is>
      </c>
      <c r="H282" s="5" t="inlineStr">
        <is>
          <t>Unitaria / Integración</t>
        </is>
      </c>
      <c r="I282" s="5" t="inlineStr">
        <is>
          <t>Funcional</t>
        </is>
      </c>
      <c r="J282" s="5" t="inlineStr">
        <is>
          <t>Vitest frontend</t>
        </is>
      </c>
      <c r="K282" s="5" t="inlineStr">
        <is>
          <t>frontend/src/tests/unit/loans/LoansClient.list.test.tsx</t>
        </is>
      </c>
      <c r="L282" s="5" t="inlineStr">
        <is>
          <t>Todas las pruebas del archivo pasan</t>
        </is>
      </c>
      <c r="M282" s="5" t="inlineStr">
        <is>
          <t>4/4 pasan</t>
        </is>
      </c>
      <c r="N282" s="7" t="inlineStr">
        <is>
          <t>Aprobado</t>
        </is>
      </c>
      <c r="O282" s="5" t="inlineStr">
        <is>
          <t>2026-10-27</t>
        </is>
      </c>
      <c r="P282" s="5" t="inlineStr">
        <is>
          <t>docs/evidencia-final-equipo/vitest-frontend.json</t>
        </is>
      </c>
      <c r="Q282" s="5" t="inlineStr">
        <is>
          <t>-</t>
        </is>
      </c>
    </row>
    <row r="283">
      <c r="A283" s="5" t="inlineStr">
        <is>
          <t>Andrés Bedoya</t>
        </is>
      </c>
      <c r="B283" s="5" t="inlineStr">
        <is>
          <t>Créditos</t>
        </is>
      </c>
      <c r="C283" s="5" t="inlineStr">
        <is>
          <t>HU-27</t>
        </is>
      </c>
      <c r="D283" s="5" t="inlineStr">
        <is>
          <t>Simulación de crédito</t>
        </is>
      </c>
      <c r="E283" s="5" t="inlineStr">
        <is>
          <t>Vitest frontend · unitaria</t>
        </is>
      </c>
      <c r="F283" s="5" t="inlineStr">
        <is>
          <t>VT-LoansClient.simulate.test</t>
        </is>
      </c>
      <c r="G283" s="5" t="inlineStr">
        <is>
          <t>LoansClient.simulate.test.tsx (5 pruebas)</t>
        </is>
      </c>
      <c r="H283" s="5" t="inlineStr">
        <is>
          <t>Unitaria / Integración</t>
        </is>
      </c>
      <c r="I283" s="5" t="inlineStr">
        <is>
          <t>Funcional</t>
        </is>
      </c>
      <c r="J283" s="5" t="inlineStr">
        <is>
          <t>Vitest frontend</t>
        </is>
      </c>
      <c r="K283" s="5" t="inlineStr">
        <is>
          <t>frontend/src/tests/unit/loans/LoansClient.simulate.test.tsx</t>
        </is>
      </c>
      <c r="L283" s="5" t="inlineStr">
        <is>
          <t>Todas las pruebas del archivo pasan</t>
        </is>
      </c>
      <c r="M283" s="5" t="inlineStr">
        <is>
          <t>5/5 pasan</t>
        </is>
      </c>
      <c r="N283" s="7" t="inlineStr">
        <is>
          <t>Aprobado</t>
        </is>
      </c>
      <c r="O283" s="5" t="inlineStr">
        <is>
          <t>2026-10-27</t>
        </is>
      </c>
      <c r="P283" s="5" t="inlineStr">
        <is>
          <t>docs/evidencia-final-equipo/vitest-frontend.json</t>
        </is>
      </c>
      <c r="Q283" s="5" t="inlineStr">
        <is>
          <t>-</t>
        </is>
      </c>
    </row>
    <row r="284">
      <c r="A284" s="5" t="inlineStr">
        <is>
          <t>Andrés Bedoya</t>
        </is>
      </c>
      <c r="B284" s="5" t="inlineStr">
        <is>
          <t>Créditos</t>
        </is>
      </c>
      <c r="C284" s="5" t="inlineStr">
        <is>
          <t>HU-27</t>
        </is>
      </c>
      <c r="D284" s="5" t="inlineStr">
        <is>
          <t>Simulación de crédito</t>
        </is>
      </c>
      <c r="E284" s="5" t="inlineStr">
        <is>
          <t>Vitest frontend · unitaria</t>
        </is>
      </c>
      <c r="F284" s="5" t="inlineStr">
        <is>
          <t>VT-adminLoans.service.test</t>
        </is>
      </c>
      <c r="G284" s="5" t="inlineStr">
        <is>
          <t>adminLoans.service.test.ts (4 pruebas)</t>
        </is>
      </c>
      <c r="H284" s="5" t="inlineStr">
        <is>
          <t>Unitaria / Integración</t>
        </is>
      </c>
      <c r="I284" s="5" t="inlineStr">
        <is>
          <t>Funcional</t>
        </is>
      </c>
      <c r="J284" s="5" t="inlineStr">
        <is>
          <t>Vitest frontend</t>
        </is>
      </c>
      <c r="K284" s="5" t="inlineStr">
        <is>
          <t>frontend/src/tests/unit/admin/adminLoans.service.test.ts</t>
        </is>
      </c>
      <c r="L284" s="5" t="inlineStr">
        <is>
          <t>Todas las pruebas del archivo pasan</t>
        </is>
      </c>
      <c r="M284" s="5" t="inlineStr">
        <is>
          <t>4/4 pasan</t>
        </is>
      </c>
      <c r="N284" s="7" t="inlineStr">
        <is>
          <t>Aprobado</t>
        </is>
      </c>
      <c r="O284" s="5" t="inlineStr">
        <is>
          <t>2026-10-27</t>
        </is>
      </c>
      <c r="P284" s="5" t="inlineStr">
        <is>
          <t>docs/evidencia-final-equipo/vitest-frontend.json</t>
        </is>
      </c>
      <c r="Q284" s="5" t="inlineStr">
        <is>
          <t>-</t>
        </is>
      </c>
    </row>
    <row r="285">
      <c r="A285" s="5" t="inlineStr">
        <is>
          <t>Andrés Bedoya</t>
        </is>
      </c>
      <c r="B285" s="5" t="inlineStr">
        <is>
          <t>Créditos</t>
        </is>
      </c>
      <c r="C285" s="5" t="inlineStr">
        <is>
          <t>HU-27</t>
        </is>
      </c>
      <c r="D285" s="5" t="inlineStr">
        <is>
          <t>Simulación de crédito</t>
        </is>
      </c>
      <c r="E285" s="5" t="inlineStr">
        <is>
          <t>Vitest frontend · unitaria</t>
        </is>
      </c>
      <c r="F285" s="5" t="inlineStr">
        <is>
          <t>VT-loan.service.test</t>
        </is>
      </c>
      <c r="G285" s="5" t="inlineStr">
        <is>
          <t>loan.service.test.ts (4 pruebas)</t>
        </is>
      </c>
      <c r="H285" s="5" t="inlineStr">
        <is>
          <t>Unitaria / Integración</t>
        </is>
      </c>
      <c r="I285" s="5" t="inlineStr">
        <is>
          <t>Funcional</t>
        </is>
      </c>
      <c r="J285" s="5" t="inlineStr">
        <is>
          <t>Vitest frontend</t>
        </is>
      </c>
      <c r="K285" s="5" t="inlineStr">
        <is>
          <t>frontend/src/tests/unit/loans/loan.service.test.ts</t>
        </is>
      </c>
      <c r="L285" s="5" t="inlineStr">
        <is>
          <t>Todas las pruebas del archivo pasan</t>
        </is>
      </c>
      <c r="M285" s="5" t="inlineStr">
        <is>
          <t>4/4 pasan</t>
        </is>
      </c>
      <c r="N285" s="7" t="inlineStr">
        <is>
          <t>Aprobado</t>
        </is>
      </c>
      <c r="O285" s="5" t="inlineStr">
        <is>
          <t>2026-10-27</t>
        </is>
      </c>
      <c r="P285" s="5" t="inlineStr">
        <is>
          <t>docs/evidencia-final-equipo/vitest-frontend.json</t>
        </is>
      </c>
      <c r="Q285" s="5" t="inlineStr">
        <is>
          <t>-</t>
        </is>
      </c>
    </row>
    <row r="286">
      <c r="A286" s="5" t="inlineStr">
        <is>
          <t>Andrés Bedoya</t>
        </is>
      </c>
      <c r="B286" s="5" t="inlineStr">
        <is>
          <t>Créditos</t>
        </is>
      </c>
      <c r="C286" s="5" t="inlineStr">
        <is>
          <t>HU-27</t>
        </is>
      </c>
      <c r="D286" s="5" t="inlineStr">
        <is>
          <t>Simulación de crédito</t>
        </is>
      </c>
      <c r="E286" s="5" t="inlineStr">
        <is>
          <t>Vitest frontend · unitaria</t>
        </is>
      </c>
      <c r="F286" s="5" t="inlineStr">
        <is>
          <t>VT-useAdminLoans.test</t>
        </is>
      </c>
      <c r="G286" s="5" t="inlineStr">
        <is>
          <t>useAdminLoans.test.ts (9 pruebas)</t>
        </is>
      </c>
      <c r="H286" s="5" t="inlineStr">
        <is>
          <t>Unitaria / Integración</t>
        </is>
      </c>
      <c r="I286" s="5" t="inlineStr">
        <is>
          <t>Funcional</t>
        </is>
      </c>
      <c r="J286" s="5" t="inlineStr">
        <is>
          <t>Vitest frontend</t>
        </is>
      </c>
      <c r="K286" s="5" t="inlineStr">
        <is>
          <t>frontend/src/tests/unit/admin/useAdminLoans.test.ts</t>
        </is>
      </c>
      <c r="L286" s="5" t="inlineStr">
        <is>
          <t>Todas las pruebas del archivo pasan</t>
        </is>
      </c>
      <c r="M286" s="5" t="inlineStr">
        <is>
          <t>9/9 pasan</t>
        </is>
      </c>
      <c r="N286" s="7" t="inlineStr">
        <is>
          <t>Aprobado</t>
        </is>
      </c>
      <c r="O286" s="5" t="inlineStr">
        <is>
          <t>2026-10-27</t>
        </is>
      </c>
      <c r="P286" s="5" t="inlineStr">
        <is>
          <t>docs/evidencia-final-equipo/vitest-frontend.json</t>
        </is>
      </c>
      <c r="Q286" s="5" t="inlineStr">
        <is>
          <t>-</t>
        </is>
      </c>
    </row>
    <row r="287">
      <c r="A287" s="5" t="inlineStr">
        <is>
          <t>Andrés Bedoya</t>
        </is>
      </c>
      <c r="B287" s="5" t="inlineStr">
        <is>
          <t>Créditos</t>
        </is>
      </c>
      <c r="C287" s="5" t="inlineStr">
        <is>
          <t>HU-27</t>
        </is>
      </c>
      <c r="D287" s="5" t="inlineStr">
        <is>
          <t>Simulación de crédito</t>
        </is>
      </c>
      <c r="E287" s="5" t="inlineStr">
        <is>
          <t>Vitest frontend · unitaria</t>
        </is>
      </c>
      <c r="F287" s="5" t="inlineStr">
        <is>
          <t>VT-useLoans.test</t>
        </is>
      </c>
      <c r="G287" s="5" t="inlineStr">
        <is>
          <t>useLoans.test.ts (9 pruebas)</t>
        </is>
      </c>
      <c r="H287" s="5" t="inlineStr">
        <is>
          <t>Unitaria / Integración</t>
        </is>
      </c>
      <c r="I287" s="5" t="inlineStr">
        <is>
          <t>Funcional</t>
        </is>
      </c>
      <c r="J287" s="5" t="inlineStr">
        <is>
          <t>Vitest frontend</t>
        </is>
      </c>
      <c r="K287" s="5" t="inlineStr">
        <is>
          <t>frontend/src/tests/unit/loans/useLoans.test.ts</t>
        </is>
      </c>
      <c r="L287" s="5" t="inlineStr">
        <is>
          <t>Todas las pruebas del archivo pasan</t>
        </is>
      </c>
      <c r="M287" s="5" t="inlineStr">
        <is>
          <t>9/9 pasan</t>
        </is>
      </c>
      <c r="N287" s="7" t="inlineStr">
        <is>
          <t>Aprobado</t>
        </is>
      </c>
      <c r="O287" s="5" t="inlineStr">
        <is>
          <t>2026-10-27</t>
        </is>
      </c>
      <c r="P287" s="5" t="inlineStr">
        <is>
          <t>docs/evidencia-final-equipo/vitest-frontend.json</t>
        </is>
      </c>
      <c r="Q287" s="5" t="inlineStr">
        <is>
          <t>-</t>
        </is>
      </c>
    </row>
    <row r="288">
      <c r="A288" s="5" t="inlineStr">
        <is>
          <t>Andrés Bedoya</t>
        </is>
      </c>
      <c r="B288" s="5" t="inlineStr">
        <is>
          <t>Créditos</t>
        </is>
      </c>
      <c r="C288" s="5" t="inlineStr">
        <is>
          <t>HU-28</t>
        </is>
      </c>
      <c r="D288" s="5" t="inlineStr">
        <is>
          <t>Solicitud de préstamo</t>
        </is>
      </c>
      <c r="E288" s="5" t="inlineStr">
        <is>
          <t>ESC008</t>
        </is>
      </c>
      <c r="F288" s="5" t="inlineStr">
        <is>
          <t>CP011</t>
        </is>
      </c>
      <c r="G288" s="5" t="inlineStr">
        <is>
          <t>Todos los requisitos válidos</t>
        </is>
      </c>
      <c r="H288" s="5" t="inlineStr">
        <is>
          <t>Sistema</t>
        </is>
      </c>
      <c r="I288" s="5" t="inlineStr">
        <is>
          <t>Funcional</t>
        </is>
      </c>
      <c r="J288" s="5" t="inlineStr">
        <is>
          <t>Casos del Excel (diseño + ejecución manual)</t>
        </is>
      </c>
      <c r="K288" s="5" t="inlineStr">
        <is>
          <t>Casos y Escenarios FuBank.xlsx</t>
        </is>
      </c>
      <c r="L288" s="5" t="inlineStr">
        <is>
          <t>Realizar solicitud con documento verificado, mayoría de edad, ingreso validado e historial crediticio validado.</t>
        </is>
      </c>
      <c r="M288" s="5" t="inlineStr">
        <is>
          <t>Sin resultado en el Excel</t>
        </is>
      </c>
      <c r="N288" s="9" t="inlineStr">
        <is>
          <t>Pendiente</t>
        </is>
      </c>
      <c r="O288" s="5" t="inlineStr">
        <is>
          <t>-</t>
        </is>
      </c>
      <c r="P288" s="5" t="inlineStr">
        <is>
          <t>Excel (hoja Casos de Prueba Detallado)</t>
        </is>
      </c>
      <c r="Q288" s="5" t="inlineStr">
        <is>
          <t>-</t>
        </is>
      </c>
    </row>
    <row r="289">
      <c r="A289" s="5" t="inlineStr">
        <is>
          <t>Andrés Bedoya</t>
        </is>
      </c>
      <c r="B289" s="5" t="inlineStr">
        <is>
          <t>Créditos</t>
        </is>
      </c>
      <c r="C289" s="5" t="inlineStr">
        <is>
          <t>HU-28</t>
        </is>
      </c>
      <c r="D289" s="5" t="inlineStr">
        <is>
          <t>Solicitud de préstamo</t>
        </is>
      </c>
      <c r="E289" s="5" t="inlineStr">
        <is>
          <t>ESC009</t>
        </is>
      </c>
      <c r="F289" s="5" t="inlineStr">
        <is>
          <t>CP012</t>
        </is>
      </c>
      <c r="G289" s="5" t="inlineStr">
        <is>
          <t>Documento no verificado</t>
        </is>
      </c>
      <c r="H289" s="5" t="inlineStr">
        <is>
          <t>Sistema</t>
        </is>
      </c>
      <c r="I289" s="5" t="inlineStr">
        <is>
          <t>Funcional</t>
        </is>
      </c>
      <c r="J289" s="5" t="inlineStr">
        <is>
          <t>Casos del Excel (diseño + ejecución manual)</t>
        </is>
      </c>
      <c r="K289" s="5" t="inlineStr">
        <is>
          <t>Casos y Escenarios FuBank.xlsx</t>
        </is>
      </c>
      <c r="L289" s="5" t="inlineStr">
        <is>
          <t>Intentar solicitar un préstamo con documento no verificado.</t>
        </is>
      </c>
      <c r="M289" s="5" t="inlineStr">
        <is>
          <t>Sin resultado en el Excel</t>
        </is>
      </c>
      <c r="N289" s="9" t="inlineStr">
        <is>
          <t>Pendiente</t>
        </is>
      </c>
      <c r="O289" s="5" t="inlineStr">
        <is>
          <t>-</t>
        </is>
      </c>
      <c r="P289" s="5" t="inlineStr">
        <is>
          <t>Excel (hoja Casos de Prueba Detallado)</t>
        </is>
      </c>
      <c r="Q289" s="5" t="inlineStr">
        <is>
          <t>-</t>
        </is>
      </c>
    </row>
    <row r="290">
      <c r="A290" s="5" t="inlineStr">
        <is>
          <t>Andrés Bedoya</t>
        </is>
      </c>
      <c r="B290" s="5" t="inlineStr">
        <is>
          <t>Créditos</t>
        </is>
      </c>
      <c r="C290" s="5" t="inlineStr">
        <is>
          <t>HU-28</t>
        </is>
      </c>
      <c r="D290" s="5" t="inlineStr">
        <is>
          <t>Solicitud de préstamo</t>
        </is>
      </c>
      <c r="E290" s="5" t="inlineStr">
        <is>
          <t>ESC010</t>
        </is>
      </c>
      <c r="F290" s="5" t="inlineStr">
        <is>
          <t>CP013</t>
        </is>
      </c>
      <c r="G290" s="5" t="inlineStr">
        <is>
          <t>Cliente menor de edad</t>
        </is>
      </c>
      <c r="H290" s="5" t="inlineStr">
        <is>
          <t>Sistema</t>
        </is>
      </c>
      <c r="I290" s="5" t="inlineStr">
        <is>
          <t>Funcional</t>
        </is>
      </c>
      <c r="J290" s="5" t="inlineStr">
        <is>
          <t>Casos del Excel (diseño + ejecución manual)</t>
        </is>
      </c>
      <c r="K290" s="5" t="inlineStr">
        <is>
          <t>Casos y Escenarios FuBank.xlsx</t>
        </is>
      </c>
      <c r="L290" s="5" t="inlineStr">
        <is>
          <t>Intentar solicitar un préstamo siendo menor de edad.</t>
        </is>
      </c>
      <c r="M290" s="5" t="inlineStr">
        <is>
          <t>Sin resultado en el Excel</t>
        </is>
      </c>
      <c r="N290" s="9" t="inlineStr">
        <is>
          <t>Pendiente</t>
        </is>
      </c>
      <c r="O290" s="5" t="inlineStr">
        <is>
          <t>-</t>
        </is>
      </c>
      <c r="P290" s="5" t="inlineStr">
        <is>
          <t>Excel (hoja Casos de Prueba Detallado)</t>
        </is>
      </c>
      <c r="Q290" s="5" t="inlineStr">
        <is>
          <t>-</t>
        </is>
      </c>
    </row>
    <row r="291">
      <c r="A291" s="5" t="inlineStr">
        <is>
          <t>Andrés Bedoya</t>
        </is>
      </c>
      <c r="B291" s="5" t="inlineStr">
        <is>
          <t>Créditos</t>
        </is>
      </c>
      <c r="C291" s="5" t="inlineStr">
        <is>
          <t>HU-28</t>
        </is>
      </c>
      <c r="D291" s="5" t="inlineStr">
        <is>
          <t>Solicitud de préstamo</t>
        </is>
      </c>
      <c r="E291" s="5" t="inlineStr">
        <is>
          <t>ESC011</t>
        </is>
      </c>
      <c r="F291" s="5" t="inlineStr">
        <is>
          <t>CP014</t>
        </is>
      </c>
      <c r="G291" s="5" t="inlineStr">
        <is>
          <t>Ingreso no validado</t>
        </is>
      </c>
      <c r="H291" s="5" t="inlineStr">
        <is>
          <t>Sistema</t>
        </is>
      </c>
      <c r="I291" s="5" t="inlineStr">
        <is>
          <t>Funcional</t>
        </is>
      </c>
      <c r="J291" s="5" t="inlineStr">
        <is>
          <t>Casos del Excel (diseño + ejecución manual)</t>
        </is>
      </c>
      <c r="K291" s="5" t="inlineStr">
        <is>
          <t>Casos y Escenarios FuBank.xlsx</t>
        </is>
      </c>
      <c r="L291" s="5" t="inlineStr">
        <is>
          <t>Intentar solicitar un préstamo con ingreso no validado.</t>
        </is>
      </c>
      <c r="M291" s="5" t="inlineStr">
        <is>
          <t>Sin resultado en el Excel</t>
        </is>
      </c>
      <c r="N291" s="9" t="inlineStr">
        <is>
          <t>Pendiente</t>
        </is>
      </c>
      <c r="O291" s="5" t="inlineStr">
        <is>
          <t>-</t>
        </is>
      </c>
      <c r="P291" s="5" t="inlineStr">
        <is>
          <t>Excel (hoja Casos de Prueba Detallado)</t>
        </is>
      </c>
      <c r="Q291" s="5" t="inlineStr">
        <is>
          <t>-</t>
        </is>
      </c>
    </row>
    <row r="292">
      <c r="A292" s="5" t="inlineStr">
        <is>
          <t>Andrés Bedoya</t>
        </is>
      </c>
      <c r="B292" s="5" t="inlineStr">
        <is>
          <t>Créditos</t>
        </is>
      </c>
      <c r="C292" s="5" t="inlineStr">
        <is>
          <t>HU-28</t>
        </is>
      </c>
      <c r="D292" s="5" t="inlineStr">
        <is>
          <t>Solicitud de préstamo</t>
        </is>
      </c>
      <c r="E292" s="5" t="inlineStr">
        <is>
          <t>ESC012</t>
        </is>
      </c>
      <c r="F292" s="5" t="inlineStr">
        <is>
          <t>CP015</t>
        </is>
      </c>
      <c r="G292" s="5" t="inlineStr">
        <is>
          <t>Historial no validado</t>
        </is>
      </c>
      <c r="H292" s="5" t="inlineStr">
        <is>
          <t>Sistema</t>
        </is>
      </c>
      <c r="I292" s="5" t="inlineStr">
        <is>
          <t>Funcional</t>
        </is>
      </c>
      <c r="J292" s="5" t="inlineStr">
        <is>
          <t>Casos del Excel (diseño + ejecución manual)</t>
        </is>
      </c>
      <c r="K292" s="5" t="inlineStr">
        <is>
          <t>Casos y Escenarios FuBank.xlsx</t>
        </is>
      </c>
      <c r="L292" s="5" t="inlineStr">
        <is>
          <t>Intentar solicitar un préstamo con historial crediticio no validado.</t>
        </is>
      </c>
      <c r="M292" s="5" t="inlineStr">
        <is>
          <t>Sin resultado en el Excel</t>
        </is>
      </c>
      <c r="N292" s="9" t="inlineStr">
        <is>
          <t>Pendiente</t>
        </is>
      </c>
      <c r="O292" s="5" t="inlineStr">
        <is>
          <t>-</t>
        </is>
      </c>
      <c r="P292" s="5" t="inlineStr">
        <is>
          <t>Excel (hoja Casos de Prueba Detallado)</t>
        </is>
      </c>
      <c r="Q292" s="5" t="inlineStr">
        <is>
          <t>-</t>
        </is>
      </c>
    </row>
    <row r="293">
      <c r="A293" s="5" t="inlineStr">
        <is>
          <t>Andrés Bedoya</t>
        </is>
      </c>
      <c r="B293" s="5" t="inlineStr">
        <is>
          <t>Créditos</t>
        </is>
      </c>
      <c r="C293" s="5" t="inlineStr">
        <is>
          <t>HU-28</t>
        </is>
      </c>
      <c r="D293" s="5" t="inlineStr">
        <is>
          <t>Solicitud de préstamo</t>
        </is>
      </c>
      <c r="E293" s="5" t="inlineStr">
        <is>
          <t>creditos.feature</t>
        </is>
      </c>
      <c r="F293" s="5" t="inlineStr">
        <is>
          <t>SJ-CRED-04</t>
        </is>
      </c>
      <c r="G293" s="5" t="inlineStr">
        <is>
          <t>Verificación de requisitos de elegibilidad de perfil</t>
        </is>
      </c>
      <c r="H293" s="5" t="inlineStr">
        <is>
          <t>Sistema (E2E)</t>
        </is>
      </c>
      <c r="I293" s="5" t="inlineStr">
        <is>
          <t>Funcional</t>
        </is>
      </c>
      <c r="J293" s="5" t="inlineStr">
        <is>
          <t>Serenity/JS Screenplay + Gherkin</t>
        </is>
      </c>
      <c r="K293" s="5" t="inlineStr">
        <is>
          <t>features/creditos/creditos.feature</t>
        </is>
      </c>
      <c r="L293" s="5" t="inlineStr">
        <is>
          <t>Verificación de requisitos de elegibilidad de perfil</t>
        </is>
      </c>
      <c r="M293" s="5" t="inlineStr">
        <is>
          <t>Todos los pasos pasaron</t>
        </is>
      </c>
      <c r="N293" s="7" t="inlineStr">
        <is>
          <t>Aprobado</t>
        </is>
      </c>
      <c r="O293" s="5" t="inlineStr">
        <is>
          <t>2026-10-27</t>
        </is>
      </c>
      <c r="P293" s="5" t="inlineStr">
        <is>
          <t>docs/evidencia-final-equipo/serenity-equipo-corrida.txt</t>
        </is>
      </c>
      <c r="Q293" s="5" t="inlineStr">
        <is>
          <t>-</t>
        </is>
      </c>
    </row>
    <row r="294">
      <c r="A294" s="5" t="inlineStr">
        <is>
          <t>Andrés Bedoya</t>
        </is>
      </c>
      <c r="B294" s="5" t="inlineStr">
        <is>
          <t>Créditos</t>
        </is>
      </c>
      <c r="C294" s="5" t="inlineStr">
        <is>
          <t>HU-28</t>
        </is>
      </c>
      <c r="D294" s="5" t="inlineStr">
        <is>
          <t>Solicitud de préstamo</t>
        </is>
      </c>
      <c r="E294" s="5" t="inlineStr">
        <is>
          <t>creditos.feature</t>
        </is>
      </c>
      <c r="F294" s="5" t="inlineStr">
        <is>
          <t>SJ-CRED-06</t>
        </is>
      </c>
      <c r="G294" s="5" t="inlineStr">
        <is>
          <t>Envío de solicitud de crédito por el cliente Gabriel</t>
        </is>
      </c>
      <c r="H294" s="5" t="inlineStr">
        <is>
          <t>Sistema (E2E)</t>
        </is>
      </c>
      <c r="I294" s="5" t="inlineStr">
        <is>
          <t>Funcional</t>
        </is>
      </c>
      <c r="J294" s="5" t="inlineStr">
        <is>
          <t>Serenity/JS Screenplay + Gherkin</t>
        </is>
      </c>
      <c r="K294" s="5" t="inlineStr">
        <is>
          <t>features/creditos/creditos.feature</t>
        </is>
      </c>
      <c r="L294" s="5" t="inlineStr">
        <is>
          <t>Envío de solicitud de crédito por el cliente Gabriel</t>
        </is>
      </c>
      <c r="M294" s="5" t="inlineStr">
        <is>
          <t>Todos los pasos pasaron</t>
        </is>
      </c>
      <c r="N294" s="7" t="inlineStr">
        <is>
          <t>Aprobado</t>
        </is>
      </c>
      <c r="O294" s="5" t="inlineStr">
        <is>
          <t>2026-10-27</t>
        </is>
      </c>
      <c r="P294" s="5" t="inlineStr">
        <is>
          <t>docs/evidencia-final-equipo/serenity-equipo-corrida.txt</t>
        </is>
      </c>
      <c r="Q294" s="5" t="inlineStr">
        <is>
          <t>-</t>
        </is>
      </c>
    </row>
    <row r="295">
      <c r="A295" s="5" t="inlineStr">
        <is>
          <t>Andrés Bedoya</t>
        </is>
      </c>
      <c r="B295" s="5" t="inlineStr">
        <is>
          <t>Créditos</t>
        </is>
      </c>
      <c r="C295" s="5" t="inlineStr">
        <is>
          <t>HU-28</t>
        </is>
      </c>
      <c r="D295" s="5" t="inlineStr">
        <is>
          <t>Solicitud de préstamo</t>
        </is>
      </c>
      <c r="E295" s="5" t="inlineStr">
        <is>
          <t>Stagehand</t>
        </is>
      </c>
      <c r="F295" s="5" t="inlineStr">
        <is>
          <t>SH-C02</t>
        </is>
      </c>
      <c r="G295" s="5" t="inlineStr">
        <is>
          <t>02-loans-requirements (observe)</t>
        </is>
      </c>
      <c r="H295" s="5" t="inlineStr">
        <is>
          <t>Sistema (E2E con IA)</t>
        </is>
      </c>
      <c r="I295" s="5" t="inlineStr">
        <is>
          <t>Funcional</t>
        </is>
      </c>
      <c r="J295" s="5" t="inlineStr">
        <is>
          <t>Stagehand (Gemini, Andrés)</t>
        </is>
      </c>
      <c r="K295" s="5" t="inlineStr">
        <is>
          <t>e2e/stagehand/src/scenarios/02-loans-requirements.ts</t>
        </is>
      </c>
      <c r="L295" s="5" t="inlineStr">
        <is>
          <t>Ver escenario</t>
        </is>
      </c>
      <c r="M295" s="5" t="inlineStr">
        <is>
          <t>APROBADO según EVIDENCIA_STAGEHAND.md del responsable</t>
        </is>
      </c>
      <c r="N295" s="8" t="inlineStr">
        <is>
          <t>Aprobado (reportado)</t>
        </is>
      </c>
      <c r="O295" s="5" t="inlineStr">
        <is>
          <t>2026-10-24</t>
        </is>
      </c>
      <c r="P295" s="5" t="inlineStr">
        <is>
          <t>e2e/stagehand/evidence/02-loans-requirements-report.json</t>
        </is>
      </c>
      <c r="Q295" s="5" t="inlineStr">
        <is>
          <t>-</t>
        </is>
      </c>
    </row>
    <row r="296">
      <c r="A296" s="5" t="inlineStr">
        <is>
          <t>Andrés Bedoya</t>
        </is>
      </c>
      <c r="B296" s="5" t="inlineStr">
        <is>
          <t>Créditos</t>
        </is>
      </c>
      <c r="C296" s="5" t="inlineStr">
        <is>
          <t>HU-28</t>
        </is>
      </c>
      <c r="D296" s="5" t="inlineStr">
        <is>
          <t>Solicitud de préstamo</t>
        </is>
      </c>
      <c r="E296" s="5" t="inlineStr">
        <is>
          <t>Vitest backend · unitaria</t>
        </is>
      </c>
      <c r="F296" s="5" t="inlineStr">
        <is>
          <t>VT-CreateLoanApplication.test</t>
        </is>
      </c>
      <c r="G296" s="5" t="inlineStr">
        <is>
          <t>CreateLoanApplication.test.ts (12 pruebas)</t>
        </is>
      </c>
      <c r="H296" s="5" t="inlineStr">
        <is>
          <t>Unitaria / Integración</t>
        </is>
      </c>
      <c r="I296" s="5" t="inlineStr">
        <is>
          <t>Funcional</t>
        </is>
      </c>
      <c r="J296" s="5" t="inlineStr">
        <is>
          <t>Vitest backend</t>
        </is>
      </c>
      <c r="K296" s="5" t="inlineStr">
        <is>
          <t>backend/src/tests/unit/loan/CreateLoanApplication.test.ts</t>
        </is>
      </c>
      <c r="L296" s="5" t="inlineStr">
        <is>
          <t>Todas las pruebas del archivo pasan</t>
        </is>
      </c>
      <c r="M296" s="5" t="inlineStr">
        <is>
          <t>12/12 pasan</t>
        </is>
      </c>
      <c r="N296" s="7" t="inlineStr">
        <is>
          <t>Aprobado</t>
        </is>
      </c>
      <c r="O296" s="5" t="inlineStr">
        <is>
          <t>2026-10-27</t>
        </is>
      </c>
      <c r="P296" s="5" t="inlineStr">
        <is>
          <t>docs/evidencia-final-equipo/vitest-backend.json</t>
        </is>
      </c>
      <c r="Q296" s="5" t="inlineStr">
        <is>
          <t>-</t>
        </is>
      </c>
    </row>
    <row r="297">
      <c r="A297" s="5" t="inlineStr">
        <is>
          <t>Andrés Bedoya</t>
        </is>
      </c>
      <c r="B297" s="5" t="inlineStr">
        <is>
          <t>Créditos</t>
        </is>
      </c>
      <c r="C297" s="5" t="inlineStr">
        <is>
          <t>HU-29</t>
        </is>
      </c>
      <c r="D297" s="5" t="inlineStr">
        <is>
          <t>Historial de solicitudes</t>
        </is>
      </c>
      <c r="E297" s="5" t="inlineStr">
        <is>
          <t>ESC013</t>
        </is>
      </c>
      <c r="F297" s="5" t="inlineStr">
        <is>
          <t>CP016</t>
        </is>
      </c>
      <c r="G297" s="5" t="inlineStr">
        <is>
          <t>Orden descendente correcto</t>
        </is>
      </c>
      <c r="H297" s="5" t="inlineStr">
        <is>
          <t>Sistema</t>
        </is>
      </c>
      <c r="I297" s="5" t="inlineStr">
        <is>
          <t>Funcional</t>
        </is>
      </c>
      <c r="J297" s="5" t="inlineStr">
        <is>
          <t>Casos del Excel (diseño + ejecución manual)</t>
        </is>
      </c>
      <c r="K297" s="5" t="inlineStr">
        <is>
          <t>Casos y Escenarios FuBank.xlsx</t>
        </is>
      </c>
      <c r="L297" s="5" t="inlineStr">
        <is>
          <t>Consultar varias solicitudes con fechas diferentes y verificar que aparezcan de la más reciente a la más antigua.</t>
        </is>
      </c>
      <c r="M297" s="5" t="inlineStr">
        <is>
          <t>Sin resultado en el Excel</t>
        </is>
      </c>
      <c r="N297" s="9" t="inlineStr">
        <is>
          <t>Pendiente</t>
        </is>
      </c>
      <c r="O297" s="5" t="inlineStr">
        <is>
          <t>-</t>
        </is>
      </c>
      <c r="P297" s="5" t="inlineStr">
        <is>
          <t>Excel (hoja Casos de Prueba Detallado)</t>
        </is>
      </c>
      <c r="Q297" s="5" t="inlineStr">
        <is>
          <t>-</t>
        </is>
      </c>
    </row>
    <row r="298">
      <c r="A298" s="5" t="inlineStr">
        <is>
          <t>Andrés Bedoya</t>
        </is>
      </c>
      <c r="B298" s="5" t="inlineStr">
        <is>
          <t>Créditos</t>
        </is>
      </c>
      <c r="C298" s="5" t="inlineStr">
        <is>
          <t>HU-29</t>
        </is>
      </c>
      <c r="D298" s="5" t="inlineStr">
        <is>
          <t>Historial de solicitudes</t>
        </is>
      </c>
      <c r="E298" s="5" t="inlineStr">
        <is>
          <t>ESC013</t>
        </is>
      </c>
      <c r="F298" s="5" t="inlineStr">
        <is>
          <t>CP017</t>
        </is>
      </c>
      <c r="G298" s="5" t="inlineStr">
        <is>
          <t>Estados correspondientes</t>
        </is>
      </c>
      <c r="H298" s="5" t="inlineStr">
        <is>
          <t>Sistema</t>
        </is>
      </c>
      <c r="I298" s="5" t="inlineStr">
        <is>
          <t>Funcional</t>
        </is>
      </c>
      <c r="J298" s="5" t="inlineStr">
        <is>
          <t>Casos del Excel (diseño + ejecución manual)</t>
        </is>
      </c>
      <c r="K298" s="5" t="inlineStr">
        <is>
          <t>Casos y Escenarios FuBank.xlsx</t>
        </is>
      </c>
      <c r="L298" s="5" t="inlineStr">
        <is>
          <t>Consultar solicitudes y verificar que cada una muestre su estado real.</t>
        </is>
      </c>
      <c r="M298" s="5" t="inlineStr">
        <is>
          <t>Sin resultado en el Excel</t>
        </is>
      </c>
      <c r="N298" s="9" t="inlineStr">
        <is>
          <t>Pendiente</t>
        </is>
      </c>
      <c r="O298" s="5" t="inlineStr">
        <is>
          <t>-</t>
        </is>
      </c>
      <c r="P298" s="5" t="inlineStr">
        <is>
          <t>Excel (hoja Casos de Prueba Detallado)</t>
        </is>
      </c>
      <c r="Q298" s="5" t="inlineStr">
        <is>
          <t>-</t>
        </is>
      </c>
    </row>
    <row r="299">
      <c r="A299" s="5" t="inlineStr">
        <is>
          <t>Andrés Bedoya</t>
        </is>
      </c>
      <c r="B299" s="5" t="inlineStr">
        <is>
          <t>Créditos</t>
        </is>
      </c>
      <c r="C299" s="5" t="inlineStr">
        <is>
          <t>HU-29</t>
        </is>
      </c>
      <c r="D299" s="5" t="inlineStr">
        <is>
          <t>Historial de solicitudes</t>
        </is>
      </c>
      <c r="E299" s="5" t="inlineStr">
        <is>
          <t>ESC013</t>
        </is>
      </c>
      <c r="F299" s="5" t="inlineStr">
        <is>
          <t>CP018</t>
        </is>
      </c>
      <c r="G299" s="5" t="inlineStr">
        <is>
          <t>Fechas iguales</t>
        </is>
      </c>
      <c r="H299" s="5" t="inlineStr">
        <is>
          <t>Sistema</t>
        </is>
      </c>
      <c r="I299" s="5" t="inlineStr">
        <is>
          <t>Funcional</t>
        </is>
      </c>
      <c r="J299" s="5" t="inlineStr">
        <is>
          <t>Casos del Excel (diseño + ejecución manual)</t>
        </is>
      </c>
      <c r="K299" s="5" t="inlineStr">
        <is>
          <t>Casos y Escenarios FuBank.xlsx</t>
        </is>
      </c>
      <c r="L299" s="5" t="inlineStr">
        <is>
          <t>Consultar solicitudes con la misma fecha y verificar que el sistema las muestre correctamente.</t>
        </is>
      </c>
      <c r="M299" s="5" t="inlineStr">
        <is>
          <t>Sin resultado en el Excel</t>
        </is>
      </c>
      <c r="N299" s="9" t="inlineStr">
        <is>
          <t>Pendiente</t>
        </is>
      </c>
      <c r="O299" s="5" t="inlineStr">
        <is>
          <t>-</t>
        </is>
      </c>
      <c r="P299" s="5" t="inlineStr">
        <is>
          <t>Excel (hoja Casos de Prueba Detallado)</t>
        </is>
      </c>
      <c r="Q299" s="5" t="inlineStr">
        <is>
          <t>-</t>
        </is>
      </c>
    </row>
    <row r="300">
      <c r="A300" s="5" t="inlineStr">
        <is>
          <t>Andrés Bedoya</t>
        </is>
      </c>
      <c r="B300" s="5" t="inlineStr">
        <is>
          <t>Créditos</t>
        </is>
      </c>
      <c r="C300" s="5" t="inlineStr">
        <is>
          <t>HU-29</t>
        </is>
      </c>
      <c r="D300" s="5" t="inlineStr">
        <is>
          <t>Historial de solicitudes</t>
        </is>
      </c>
      <c r="E300" s="5" t="inlineStr">
        <is>
          <t>ESC014</t>
        </is>
      </c>
      <c r="F300" s="5" t="inlineStr">
        <is>
          <t>CP019</t>
        </is>
      </c>
      <c r="G300" s="5" t="inlineStr">
        <is>
          <t>Historial sin solicitudes</t>
        </is>
      </c>
      <c r="H300" s="5" t="inlineStr">
        <is>
          <t>Sistema</t>
        </is>
      </c>
      <c r="I300" s="5" t="inlineStr">
        <is>
          <t>Funcional</t>
        </is>
      </c>
      <c r="J300" s="5" t="inlineStr">
        <is>
          <t>Casos del Excel (diseño + ejecución manual)</t>
        </is>
      </c>
      <c r="K300" s="5" t="inlineStr">
        <is>
          <t>Casos y Escenarios FuBank.xlsx</t>
        </is>
      </c>
      <c r="L300" s="5" t="inlineStr">
        <is>
          <t>Consultar el historial de un cliente que nunca ha realizado una solicitud.</t>
        </is>
      </c>
      <c r="M300" s="5" t="inlineStr">
        <is>
          <t>Sin resultado en el Excel</t>
        </is>
      </c>
      <c r="N300" s="9" t="inlineStr">
        <is>
          <t>Pendiente</t>
        </is>
      </c>
      <c r="O300" s="5" t="inlineStr">
        <is>
          <t>-</t>
        </is>
      </c>
      <c r="P300" s="5" t="inlineStr">
        <is>
          <t>Excel (hoja Casos de Prueba Detallado)</t>
        </is>
      </c>
      <c r="Q300" s="5" t="inlineStr">
        <is>
          <t>-</t>
        </is>
      </c>
    </row>
    <row r="301">
      <c r="A301" s="5" t="inlineStr">
        <is>
          <t>Andrés Bedoya</t>
        </is>
      </c>
      <c r="B301" s="5" t="inlineStr">
        <is>
          <t>Créditos</t>
        </is>
      </c>
      <c r="C301" s="5" t="inlineStr">
        <is>
          <t>HU-31</t>
        </is>
      </c>
      <c r="D301" s="5" t="inlineStr">
        <is>
          <t>Aceptar solicitud de préstamo</t>
        </is>
      </c>
      <c r="E301" s="5" t="inlineStr">
        <is>
          <t>ESC015</t>
        </is>
      </c>
      <c r="F301" s="5" t="inlineStr">
        <is>
          <t>CP020</t>
        </is>
      </c>
      <c r="G301" s="5" t="inlineStr">
        <is>
          <t>Cambio de estado</t>
        </is>
      </c>
      <c r="H301" s="5" t="inlineStr">
        <is>
          <t>Integración</t>
        </is>
      </c>
      <c r="I301" s="5" t="inlineStr">
        <is>
          <t>Funcional</t>
        </is>
      </c>
      <c r="J301" s="5" t="inlineStr">
        <is>
          <t>Casos del Excel (diseño + ejecución manual)</t>
        </is>
      </c>
      <c r="K301" s="5" t="inlineStr">
        <is>
          <t>Casos y Escenarios FuBank.xlsx</t>
        </is>
      </c>
      <c r="L301" s="5" t="inlineStr">
        <is>
          <t>Aprobar una solicitud PENDING y verificar transición a APPROVED.</t>
        </is>
      </c>
      <c r="M301" s="5" t="inlineStr">
        <is>
          <t>Sin resultado en el Excel</t>
        </is>
      </c>
      <c r="N301" s="9" t="inlineStr">
        <is>
          <t>Pendiente</t>
        </is>
      </c>
      <c r="O301" s="5" t="inlineStr">
        <is>
          <t>-</t>
        </is>
      </c>
      <c r="P301" s="5" t="inlineStr">
        <is>
          <t>Excel (hoja Casos de Prueba Detallado)</t>
        </is>
      </c>
      <c r="Q301" s="5" t="inlineStr">
        <is>
          <t>-</t>
        </is>
      </c>
    </row>
    <row r="302">
      <c r="A302" s="5" t="inlineStr">
        <is>
          <t>Andrés Bedoya</t>
        </is>
      </c>
      <c r="B302" s="5" t="inlineStr">
        <is>
          <t>Créditos</t>
        </is>
      </c>
      <c r="C302" s="5" t="inlineStr">
        <is>
          <t>HU-31</t>
        </is>
      </c>
      <c r="D302" s="5" t="inlineStr">
        <is>
          <t>Aceptar solicitud de préstamo</t>
        </is>
      </c>
      <c r="E302" s="5" t="inlineStr">
        <is>
          <t>ESC015</t>
        </is>
      </c>
      <c r="F302" s="5" t="inlineStr">
        <is>
          <t>CP021</t>
        </is>
      </c>
      <c r="G302" s="5" t="inlineStr">
        <is>
          <t>Creación de cuenta crédito</t>
        </is>
      </c>
      <c r="H302" s="5" t="inlineStr">
        <is>
          <t>Integración</t>
        </is>
      </c>
      <c r="I302" s="5" t="inlineStr">
        <is>
          <t>Funcional</t>
        </is>
      </c>
      <c r="J302" s="5" t="inlineStr">
        <is>
          <t>Casos del Excel (diseño + ejecución manual)</t>
        </is>
      </c>
      <c r="K302" s="5" t="inlineStr">
        <is>
          <t>Casos y Escenarios FuBank.xlsx</t>
        </is>
      </c>
      <c r="L302" s="5" t="inlineStr">
        <is>
          <t>Aprobar una solicitud PENDING y verificar creación de la cuenta CREDITO.</t>
        </is>
      </c>
      <c r="M302" s="5" t="inlineStr">
        <is>
          <t>Sin resultado en el Excel</t>
        </is>
      </c>
      <c r="N302" s="9" t="inlineStr">
        <is>
          <t>Pendiente</t>
        </is>
      </c>
      <c r="O302" s="5" t="inlineStr">
        <is>
          <t>-</t>
        </is>
      </c>
      <c r="P302" s="5" t="inlineStr">
        <is>
          <t>Excel (hoja Casos de Prueba Detallado)</t>
        </is>
      </c>
      <c r="Q302" s="5" t="inlineStr">
        <is>
          <t>-</t>
        </is>
      </c>
    </row>
    <row r="303">
      <c r="A303" s="5" t="inlineStr">
        <is>
          <t>Andrés Bedoya</t>
        </is>
      </c>
      <c r="B303" s="5" t="inlineStr">
        <is>
          <t>Créditos</t>
        </is>
      </c>
      <c r="C303" s="5" t="inlineStr">
        <is>
          <t>HU-31</t>
        </is>
      </c>
      <c r="D303" s="5" t="inlineStr">
        <is>
          <t>Aceptar solicitud de préstamo</t>
        </is>
      </c>
      <c r="E303" s="5" t="inlineStr">
        <is>
          <t>ESC015</t>
        </is>
      </c>
      <c r="F303" s="5" t="inlineStr">
        <is>
          <t>CP022</t>
        </is>
      </c>
      <c r="G303" s="5" t="inlineStr">
        <is>
          <t>Notificación de aprobación</t>
        </is>
      </c>
      <c r="H303" s="5" t="inlineStr">
        <is>
          <t>Integración</t>
        </is>
      </c>
      <c r="I303" s="5" t="inlineStr">
        <is>
          <t>Funcional</t>
        </is>
      </c>
      <c r="J303" s="5" t="inlineStr">
        <is>
          <t>Casos del Excel (diseño + ejecución manual)</t>
        </is>
      </c>
      <c r="K303" s="5" t="inlineStr">
        <is>
          <t>Casos y Escenarios FuBank.xlsx</t>
        </is>
      </c>
      <c r="L303" s="5" t="inlineStr">
        <is>
          <t>Aprobar una solicitud PENDING y verificar el envío de la notificación.</t>
        </is>
      </c>
      <c r="M303" s="5" t="inlineStr">
        <is>
          <t>Sin resultado en el Excel</t>
        </is>
      </c>
      <c r="N303" s="9" t="inlineStr">
        <is>
          <t>Pendiente</t>
        </is>
      </c>
      <c r="O303" s="5" t="inlineStr">
        <is>
          <t>-</t>
        </is>
      </c>
      <c r="P303" s="5" t="inlineStr">
        <is>
          <t>Excel (hoja Casos de Prueba Detallado)</t>
        </is>
      </c>
      <c r="Q303" s="5" t="inlineStr">
        <is>
          <t>-</t>
        </is>
      </c>
    </row>
    <row r="304">
      <c r="A304" s="5" t="inlineStr">
        <is>
          <t>Andrés Bedoya</t>
        </is>
      </c>
      <c r="B304" s="5" t="inlineStr">
        <is>
          <t>Créditos</t>
        </is>
      </c>
      <c r="C304" s="5" t="inlineStr">
        <is>
          <t>HU-31</t>
        </is>
      </c>
      <c r="D304" s="5" t="inlineStr">
        <is>
          <t>Aceptar solicitud de préstamo</t>
        </is>
      </c>
      <c r="E304" s="5" t="inlineStr">
        <is>
          <t>ESC016</t>
        </is>
      </c>
      <c r="F304" s="5" t="inlineStr">
        <is>
          <t>CP023</t>
        </is>
      </c>
      <c r="G304" s="5" t="inlineStr">
        <is>
          <t>Aprobación sin cuenta ni notificación</t>
        </is>
      </c>
      <c r="H304" s="5" t="inlineStr">
        <is>
          <t>Integración</t>
        </is>
      </c>
      <c r="I304" s="5" t="inlineStr">
        <is>
          <t>Funcional</t>
        </is>
      </c>
      <c r="J304" s="5" t="inlineStr">
        <is>
          <t>Casos del Excel (diseño + ejecución manual)</t>
        </is>
      </c>
      <c r="K304" s="5" t="inlineStr">
        <is>
          <t>Casos y Escenarios FuBank.xlsx</t>
        </is>
      </c>
      <c r="L304" s="5" t="inlineStr">
        <is>
          <t>Verificar el comportamiento del sistema cuando una solicitud pasa a APPROVED sin crear cuenta CREDITO ni generar notificación.</t>
        </is>
      </c>
      <c r="M304" s="5" t="inlineStr">
        <is>
          <t>Sin resultado en el Excel</t>
        </is>
      </c>
      <c r="N304" s="9" t="inlineStr">
        <is>
          <t>Pendiente</t>
        </is>
      </c>
      <c r="O304" s="5" t="inlineStr">
        <is>
          <t>-</t>
        </is>
      </c>
      <c r="P304" s="5" t="inlineStr">
        <is>
          <t>Excel (hoja Casos de Prueba Detallado)</t>
        </is>
      </c>
      <c r="Q304" s="5" t="inlineStr">
        <is>
          <t>-</t>
        </is>
      </c>
    </row>
    <row r="305">
      <c r="A305" s="5" t="inlineStr">
        <is>
          <t>Andrés Bedoya</t>
        </is>
      </c>
      <c r="B305" s="5" t="inlineStr">
        <is>
          <t>Créditos</t>
        </is>
      </c>
      <c r="C305" s="5" t="inlineStr">
        <is>
          <t>HU-31</t>
        </is>
      </c>
      <c r="D305" s="5" t="inlineStr">
        <is>
          <t>Aceptar solicitud de préstamo</t>
        </is>
      </c>
      <c r="E305" s="5" t="inlineStr">
        <is>
          <t>ESC017</t>
        </is>
      </c>
      <c r="F305" s="5" t="inlineStr">
        <is>
          <t>CP024</t>
        </is>
      </c>
      <c r="G305" s="5" t="inlineStr">
        <is>
          <t>Aprobación sin cuenta con notificación</t>
        </is>
      </c>
      <c r="H305" s="5" t="inlineStr">
        <is>
          <t>Integración</t>
        </is>
      </c>
      <c r="I305" s="5" t="inlineStr">
        <is>
          <t>Funcional</t>
        </is>
      </c>
      <c r="J305" s="5" t="inlineStr">
        <is>
          <t>Casos del Excel (diseño + ejecución manual)</t>
        </is>
      </c>
      <c r="K305" s="5" t="inlineStr">
        <is>
          <t>Casos y Escenarios FuBank.xlsx</t>
        </is>
      </c>
      <c r="L305" s="5" t="inlineStr">
        <is>
          <t>Verificar el comportamiento del sistema cuando la solicitud pasa a APPROVED y genera notificación, pero no crea cuenta CREDITO.</t>
        </is>
      </c>
      <c r="M305" s="5" t="inlineStr">
        <is>
          <t>Sin resultado en el Excel</t>
        </is>
      </c>
      <c r="N305" s="9" t="inlineStr">
        <is>
          <t>Pendiente</t>
        </is>
      </c>
      <c r="O305" s="5" t="inlineStr">
        <is>
          <t>-</t>
        </is>
      </c>
      <c r="P305" s="5" t="inlineStr">
        <is>
          <t>Excel (hoja Casos de Prueba Detallado)</t>
        </is>
      </c>
      <c r="Q305" s="5" t="inlineStr">
        <is>
          <t>-</t>
        </is>
      </c>
    </row>
    <row r="306">
      <c r="A306" s="5" t="inlineStr">
        <is>
          <t>Andrés Bedoya</t>
        </is>
      </c>
      <c r="B306" s="5" t="inlineStr">
        <is>
          <t>Créditos</t>
        </is>
      </c>
      <c r="C306" s="5" t="inlineStr">
        <is>
          <t>HU-31</t>
        </is>
      </c>
      <c r="D306" s="5" t="inlineStr">
        <is>
          <t>Aceptar solicitud de préstamo</t>
        </is>
      </c>
      <c r="E306" s="5" t="inlineStr">
        <is>
          <t>creditos.feature</t>
        </is>
      </c>
      <c r="F306" s="5" t="inlineStr">
        <is>
          <t>SJ-CRED-07</t>
        </is>
      </c>
      <c r="G306" s="5" t="inlineStr">
        <is>
          <t>Aprobación de crédito por el Administrador Andresito</t>
        </is>
      </c>
      <c r="H306" s="5" t="inlineStr">
        <is>
          <t>Sistema (E2E)</t>
        </is>
      </c>
      <c r="I306" s="5" t="inlineStr">
        <is>
          <t>Funcional</t>
        </is>
      </c>
      <c r="J306" s="5" t="inlineStr">
        <is>
          <t>Serenity/JS Screenplay + Gherkin</t>
        </is>
      </c>
      <c r="K306" s="5" t="inlineStr">
        <is>
          <t>features/creditos/creditos.feature</t>
        </is>
      </c>
      <c r="L306" s="5" t="inlineStr">
        <is>
          <t>Aprobación de crédito por el Administrador Andresito</t>
        </is>
      </c>
      <c r="M306" s="5" t="inlineStr">
        <is>
          <t>Todos los pasos pasaron</t>
        </is>
      </c>
      <c r="N306" s="7" t="inlineStr">
        <is>
          <t>Aprobado</t>
        </is>
      </c>
      <c r="O306" s="5" t="inlineStr">
        <is>
          <t>2026-10-27</t>
        </is>
      </c>
      <c r="P306" s="5" t="inlineStr">
        <is>
          <t>docs/evidencia-final-equipo/serenity-equipo-corrida.txt</t>
        </is>
      </c>
      <c r="Q306" s="5" t="inlineStr">
        <is>
          <t>-</t>
        </is>
      </c>
    </row>
    <row r="307">
      <c r="A307" s="5" t="inlineStr">
        <is>
          <t>Andrés Bedoya</t>
        </is>
      </c>
      <c r="B307" s="5" t="inlineStr">
        <is>
          <t>Créditos</t>
        </is>
      </c>
      <c r="C307" s="5" t="inlineStr">
        <is>
          <t>HU-31</t>
        </is>
      </c>
      <c r="D307" s="5" t="inlineStr">
        <is>
          <t>Aceptar solicitud de préstamo</t>
        </is>
      </c>
      <c r="E307" s="5" t="inlineStr">
        <is>
          <t>Stagehand</t>
        </is>
      </c>
      <c r="F307" s="5" t="inlineStr">
        <is>
          <t>SH-C03</t>
        </is>
      </c>
      <c r="G307" s="5" t="inlineStr">
        <is>
          <t>03-admin-approval (act + observe + extract)</t>
        </is>
      </c>
      <c r="H307" s="5" t="inlineStr">
        <is>
          <t>Sistema (E2E con IA)</t>
        </is>
      </c>
      <c r="I307" s="5" t="inlineStr">
        <is>
          <t>Funcional</t>
        </is>
      </c>
      <c r="J307" s="5" t="inlineStr">
        <is>
          <t>Stagehand (Gemini, Andrés)</t>
        </is>
      </c>
      <c r="K307" s="5" t="inlineStr">
        <is>
          <t>e2e/stagehand/src/scenarios/03-admin-approval.ts</t>
        </is>
      </c>
      <c r="L307" s="5" t="inlineStr">
        <is>
          <t>Ver escenario</t>
        </is>
      </c>
      <c r="M307" s="5" t="inlineStr">
        <is>
          <t>APROBADO según EVIDENCIA_STAGEHAND.md del responsable</t>
        </is>
      </c>
      <c r="N307" s="8" t="inlineStr">
        <is>
          <t>Aprobado (reportado)</t>
        </is>
      </c>
      <c r="O307" s="5" t="inlineStr">
        <is>
          <t>2026-10-24</t>
        </is>
      </c>
      <c r="P307" s="5" t="inlineStr">
        <is>
          <t>e2e/stagehand/evidence/03-admin-approval-report.json</t>
        </is>
      </c>
      <c r="Q307" s="5" t="inlineStr">
        <is>
          <t>-</t>
        </is>
      </c>
    </row>
    <row r="308">
      <c r="A308" s="5" t="inlineStr">
        <is>
          <t>Andrés Bedoya</t>
        </is>
      </c>
      <c r="B308" s="5" t="inlineStr">
        <is>
          <t>Créditos</t>
        </is>
      </c>
      <c r="C308" s="5" t="inlineStr">
        <is>
          <t>HU-31</t>
        </is>
      </c>
      <c r="D308" s="5" t="inlineStr">
        <is>
          <t>Aceptar solicitud de préstamo</t>
        </is>
      </c>
      <c r="E308" s="5" t="inlineStr">
        <is>
          <t>Vitest backend · unitaria</t>
        </is>
      </c>
      <c r="F308" s="5" t="inlineStr">
        <is>
          <t>VT-ApproveLoan.test</t>
        </is>
      </c>
      <c r="G308" s="5" t="inlineStr">
        <is>
          <t>ApproveLoan.test.ts (11 pruebas)</t>
        </is>
      </c>
      <c r="H308" s="5" t="inlineStr">
        <is>
          <t>Unitaria / Integración</t>
        </is>
      </c>
      <c r="I308" s="5" t="inlineStr">
        <is>
          <t>Funcional</t>
        </is>
      </c>
      <c r="J308" s="5" t="inlineStr">
        <is>
          <t>Vitest backend</t>
        </is>
      </c>
      <c r="K308" s="5" t="inlineStr">
        <is>
          <t>backend/src/tests/unit/loan/ApproveLoan.test.ts</t>
        </is>
      </c>
      <c r="L308" s="5" t="inlineStr">
        <is>
          <t>Todas las pruebas del archivo pasan</t>
        </is>
      </c>
      <c r="M308" s="5" t="inlineStr">
        <is>
          <t>11/11 pasan</t>
        </is>
      </c>
      <c r="N308" s="7" t="inlineStr">
        <is>
          <t>Aprobado</t>
        </is>
      </c>
      <c r="O308" s="5" t="inlineStr">
        <is>
          <t>2026-10-27</t>
        </is>
      </c>
      <c r="P308" s="5" t="inlineStr">
        <is>
          <t>docs/evidencia-final-equipo/vitest-backend.json</t>
        </is>
      </c>
      <c r="Q308" s="5" t="inlineStr">
        <is>
          <t>-</t>
        </is>
      </c>
    </row>
    <row r="309">
      <c r="A309" s="5" t="inlineStr">
        <is>
          <t>Andrés Bedoya</t>
        </is>
      </c>
      <c r="B309" s="5" t="inlineStr">
        <is>
          <t>Créditos</t>
        </is>
      </c>
      <c r="C309" s="5" t="inlineStr">
        <is>
          <t>HU-32</t>
        </is>
      </c>
      <c r="D309" s="5" t="inlineStr">
        <is>
          <t>Rechazar solicitud de préstamo</t>
        </is>
      </c>
      <c r="E309" s="5" t="inlineStr">
        <is>
          <t>ESC018</t>
        </is>
      </c>
      <c r="F309" s="5" t="inlineStr">
        <is>
          <t>CP025</t>
        </is>
      </c>
      <c r="G309" s="5" t="inlineStr">
        <is>
          <t>Cambio de estado a rechazado</t>
        </is>
      </c>
      <c r="H309" s="5" t="inlineStr">
        <is>
          <t>Integración</t>
        </is>
      </c>
      <c r="I309" s="5" t="inlineStr">
        <is>
          <t>Funcional</t>
        </is>
      </c>
      <c r="J309" s="5" t="inlineStr">
        <is>
          <t>Casos del Excel (diseño + ejecución manual)</t>
        </is>
      </c>
      <c r="K309" s="5" t="inlineStr">
        <is>
          <t>Casos y Escenarios FuBank.xlsx</t>
        </is>
      </c>
      <c r="L309" s="5" t="inlineStr">
        <is>
          <t>Rechazar una solicitud PENDING y verificar transición a REJECTED.</t>
        </is>
      </c>
      <c r="M309" s="5" t="inlineStr">
        <is>
          <t>Sin resultado en el Excel</t>
        </is>
      </c>
      <c r="N309" s="9" t="inlineStr">
        <is>
          <t>Pendiente</t>
        </is>
      </c>
      <c r="O309" s="5" t="inlineStr">
        <is>
          <t>-</t>
        </is>
      </c>
      <c r="P309" s="5" t="inlineStr">
        <is>
          <t>Excel (hoja Casos de Prueba Detallado)</t>
        </is>
      </c>
      <c r="Q309" s="5" t="inlineStr">
        <is>
          <t>-</t>
        </is>
      </c>
    </row>
    <row r="310">
      <c r="A310" s="5" t="inlineStr">
        <is>
          <t>Andrés Bedoya</t>
        </is>
      </c>
      <c r="B310" s="5" t="inlineStr">
        <is>
          <t>Créditos</t>
        </is>
      </c>
      <c r="C310" s="5" t="inlineStr">
        <is>
          <t>HU-32</t>
        </is>
      </c>
      <c r="D310" s="5" t="inlineStr">
        <is>
          <t>Rechazar solicitud de préstamo</t>
        </is>
      </c>
      <c r="E310" s="5" t="inlineStr">
        <is>
          <t>ESC018</t>
        </is>
      </c>
      <c r="F310" s="5" t="inlineStr">
        <is>
          <t>CP026</t>
        </is>
      </c>
      <c r="G310" s="5" t="inlineStr">
        <is>
          <t>Notificación de rechazo</t>
        </is>
      </c>
      <c r="H310" s="5" t="inlineStr">
        <is>
          <t>Integración</t>
        </is>
      </c>
      <c r="I310" s="5" t="inlineStr">
        <is>
          <t>Funcional</t>
        </is>
      </c>
      <c r="J310" s="5" t="inlineStr">
        <is>
          <t>Casos del Excel (diseño + ejecución manual)</t>
        </is>
      </c>
      <c r="K310" s="5" t="inlineStr">
        <is>
          <t>Casos y Escenarios FuBank.xlsx</t>
        </is>
      </c>
      <c r="L310" s="5" t="inlineStr">
        <is>
          <t>Rechazar una solicitud PENDING y verificar el envío de la notificación.</t>
        </is>
      </c>
      <c r="M310" s="5" t="inlineStr">
        <is>
          <t>Sin resultado en el Excel</t>
        </is>
      </c>
      <c r="N310" s="9" t="inlineStr">
        <is>
          <t>Pendiente</t>
        </is>
      </c>
      <c r="O310" s="5" t="inlineStr">
        <is>
          <t>-</t>
        </is>
      </c>
      <c r="P310" s="5" t="inlineStr">
        <is>
          <t>Excel (hoja Casos de Prueba Detallado)</t>
        </is>
      </c>
      <c r="Q310" s="5" t="inlineStr">
        <is>
          <t>-</t>
        </is>
      </c>
    </row>
    <row r="311">
      <c r="A311" s="5" t="inlineStr">
        <is>
          <t>Andrés Bedoya</t>
        </is>
      </c>
      <c r="B311" s="5" t="inlineStr">
        <is>
          <t>Créditos</t>
        </is>
      </c>
      <c r="C311" s="5" t="inlineStr">
        <is>
          <t>HU-32</t>
        </is>
      </c>
      <c r="D311" s="5" t="inlineStr">
        <is>
          <t>Rechazar solicitud de préstamo</t>
        </is>
      </c>
      <c r="E311" s="5" t="inlineStr">
        <is>
          <t>ESC019</t>
        </is>
      </c>
      <c r="F311" s="5" t="inlineStr">
        <is>
          <t>CP027</t>
        </is>
      </c>
      <c r="G311" s="5" t="inlineStr">
        <is>
          <t>Modificación de solicitud aprobada</t>
        </is>
      </c>
      <c r="H311" s="5" t="inlineStr">
        <is>
          <t>Sistema</t>
        </is>
      </c>
      <c r="I311" s="5" t="inlineStr">
        <is>
          <t>Funcional</t>
        </is>
      </c>
      <c r="J311" s="5" t="inlineStr">
        <is>
          <t>Casos del Excel (diseño + ejecución manual)</t>
        </is>
      </c>
      <c r="K311" s="5" t="inlineStr">
        <is>
          <t>Casos y Escenarios FuBank.xlsx</t>
        </is>
      </c>
      <c r="L311" s="5" t="inlineStr">
        <is>
          <t>Intentar cambiar el estado de una solicitud que ya está APPROVED.</t>
        </is>
      </c>
      <c r="M311" s="5" t="inlineStr">
        <is>
          <t>Sin resultado en el Excel</t>
        </is>
      </c>
      <c r="N311" s="9" t="inlineStr">
        <is>
          <t>Pendiente</t>
        </is>
      </c>
      <c r="O311" s="5" t="inlineStr">
        <is>
          <t>-</t>
        </is>
      </c>
      <c r="P311" s="5" t="inlineStr">
        <is>
          <t>Excel (hoja Casos de Prueba Detallado)</t>
        </is>
      </c>
      <c r="Q311" s="5" t="inlineStr">
        <is>
          <t>-</t>
        </is>
      </c>
    </row>
    <row r="312">
      <c r="A312" s="5" t="inlineStr">
        <is>
          <t>Andrés Bedoya</t>
        </is>
      </c>
      <c r="B312" s="5" t="inlineStr">
        <is>
          <t>Créditos</t>
        </is>
      </c>
      <c r="C312" s="5" t="inlineStr">
        <is>
          <t>HU-32</t>
        </is>
      </c>
      <c r="D312" s="5" t="inlineStr">
        <is>
          <t>Rechazar solicitud de préstamo</t>
        </is>
      </c>
      <c r="E312" s="5" t="inlineStr">
        <is>
          <t>ESC019</t>
        </is>
      </c>
      <c r="F312" s="5" t="inlineStr">
        <is>
          <t>CP028</t>
        </is>
      </c>
      <c r="G312" s="5" t="inlineStr">
        <is>
          <t>Modificación de solicitud rechazada</t>
        </is>
      </c>
      <c r="H312" s="5" t="inlineStr">
        <is>
          <t>Sistema</t>
        </is>
      </c>
      <c r="I312" s="5" t="inlineStr">
        <is>
          <t>Funcional</t>
        </is>
      </c>
      <c r="J312" s="5" t="inlineStr">
        <is>
          <t>Casos del Excel (diseño + ejecución manual)</t>
        </is>
      </c>
      <c r="K312" s="5" t="inlineStr">
        <is>
          <t>Casos y Escenarios FuBank.xlsx</t>
        </is>
      </c>
      <c r="L312" s="5" t="inlineStr">
        <is>
          <t>Intentar cambiar el estado de una solicitud que ya está REJECTED.</t>
        </is>
      </c>
      <c r="M312" s="5" t="inlineStr">
        <is>
          <t>Sin resultado en el Excel</t>
        </is>
      </c>
      <c r="N312" s="9" t="inlineStr">
        <is>
          <t>Pendiente</t>
        </is>
      </c>
      <c r="O312" s="5" t="inlineStr">
        <is>
          <t>-</t>
        </is>
      </c>
      <c r="P312" s="5" t="inlineStr">
        <is>
          <t>Excel (hoja Casos de Prueba Detallado)</t>
        </is>
      </c>
      <c r="Q312" s="5" t="inlineStr">
        <is>
          <t>-</t>
        </is>
      </c>
    </row>
    <row r="313">
      <c r="A313" s="5" t="inlineStr">
        <is>
          <t>Andrés Bedoya</t>
        </is>
      </c>
      <c r="B313" s="5" t="inlineStr">
        <is>
          <t>Créditos</t>
        </is>
      </c>
      <c r="C313" s="5" t="inlineStr">
        <is>
          <t>HU-32</t>
        </is>
      </c>
      <c r="D313" s="5" t="inlineStr">
        <is>
          <t>Rechazar solicitud de préstamo</t>
        </is>
      </c>
      <c r="E313" s="5" t="inlineStr">
        <is>
          <t>Vitest backend · unitaria</t>
        </is>
      </c>
      <c r="F313" s="5" t="inlineStr">
        <is>
          <t>VT-RejectLoan.test</t>
        </is>
      </c>
      <c r="G313" s="5" t="inlineStr">
        <is>
          <t>RejectLoan.test.ts (6 pruebas)</t>
        </is>
      </c>
      <c r="H313" s="5" t="inlineStr">
        <is>
          <t>Unitaria / Integración</t>
        </is>
      </c>
      <c r="I313" s="5" t="inlineStr">
        <is>
          <t>Funcional</t>
        </is>
      </c>
      <c r="J313" s="5" t="inlineStr">
        <is>
          <t>Vitest backend</t>
        </is>
      </c>
      <c r="K313" s="5" t="inlineStr">
        <is>
          <t>backend/src/tests/unit/loan/RejectLoan.test.ts</t>
        </is>
      </c>
      <c r="L313" s="5" t="inlineStr">
        <is>
          <t>Todas las pruebas del archivo pasan</t>
        </is>
      </c>
      <c r="M313" s="5" t="inlineStr">
        <is>
          <t>6/6 pasan</t>
        </is>
      </c>
      <c r="N313" s="7" t="inlineStr">
        <is>
          <t>Aprobado</t>
        </is>
      </c>
      <c r="O313" s="5" t="inlineStr">
        <is>
          <t>2026-10-27</t>
        </is>
      </c>
      <c r="P313" s="5" t="inlineStr">
        <is>
          <t>docs/evidencia-final-equipo/vitest-backend.json</t>
        </is>
      </c>
      <c r="Q313" s="5" t="inlineStr">
        <is>
          <t>-</t>
        </is>
      </c>
    </row>
    <row r="314">
      <c r="A314" s="5" t="inlineStr">
        <is>
          <t>Stiven Alejandro Bustamante</t>
        </is>
      </c>
      <c r="B314" s="5" t="inlineStr">
        <is>
          <t>Bolsillos</t>
        </is>
      </c>
      <c r="C314" s="5" t="inlineStr">
        <is>
          <t>HU-23</t>
        </is>
      </c>
      <c r="D314" s="5" t="inlineStr">
        <is>
          <t>Crear bolsillo</t>
        </is>
      </c>
      <c r="E314" s="5" t="inlineStr">
        <is>
          <t>ESC031</t>
        </is>
      </c>
      <c r="F314" s="5" t="inlineStr">
        <is>
          <t>TC-101</t>
        </is>
      </c>
      <c r="G314" s="5" t="inlineStr">
        <is>
          <t>Monto válido menor al saldo</t>
        </is>
      </c>
      <c r="H314" s="5" t="inlineStr">
        <is>
          <t>Integración</t>
        </is>
      </c>
      <c r="I314" s="5" t="inlineStr">
        <is>
          <t>Funcional</t>
        </is>
      </c>
      <c r="J314" s="5" t="inlineStr">
        <is>
          <t>Casos del Excel (diseño + ejecución manual)</t>
        </is>
      </c>
      <c r="K314" s="5" t="inlineStr">
        <is>
          <t>Casos y Escenarios FuBank.xlsx</t>
        </is>
      </c>
      <c r="L314" s="5" t="inlineStr">
        <is>
          <t>Se crea el bolsillo con nombre y monto (0&lt;monto&lt;saldo); el sistema lo crea y descuenta el monto del saldo disponible</t>
        </is>
      </c>
      <c r="M314" s="5" t="inlineStr">
        <is>
          <t>Según lo esperado</t>
        </is>
      </c>
      <c r="N314" s="7" t="inlineStr">
        <is>
          <t>Aprobado</t>
        </is>
      </c>
      <c r="O314" s="5" t="inlineStr">
        <is>
          <t>2026-10-10</t>
        </is>
      </c>
      <c r="P314" s="5" t="inlineStr">
        <is>
          <t>Excel (hoja Casos de Prueba Detallado)</t>
        </is>
      </c>
      <c r="Q314" s="5" t="inlineStr">
        <is>
          <t>-</t>
        </is>
      </c>
    </row>
    <row r="315">
      <c r="A315" s="5" t="inlineStr">
        <is>
          <t>Stiven Alejandro Bustamante</t>
        </is>
      </c>
      <c r="B315" s="5" t="inlineStr">
        <is>
          <t>Bolsillos</t>
        </is>
      </c>
      <c r="C315" s="5" t="inlineStr">
        <is>
          <t>HU-23</t>
        </is>
      </c>
      <c r="D315" s="5" t="inlineStr">
        <is>
          <t>Crear bolsillo</t>
        </is>
      </c>
      <c r="E315" s="5" t="inlineStr">
        <is>
          <t>ESC031</t>
        </is>
      </c>
      <c r="F315" s="5" t="inlineStr">
        <is>
          <t>TC-102</t>
        </is>
      </c>
      <c r="G315" s="5" t="inlineStr">
        <is>
          <t>Monto igual a cero (límite)</t>
        </is>
      </c>
      <c r="H315" s="5" t="inlineStr">
        <is>
          <t>Unitaria</t>
        </is>
      </c>
      <c r="I315" s="5" t="inlineStr">
        <is>
          <t>Funcional</t>
        </is>
      </c>
      <c r="J315" s="5" t="inlineStr">
        <is>
          <t>Casos del Excel (diseño + ejecución manual)</t>
        </is>
      </c>
      <c r="K315" s="5" t="inlineStr">
        <is>
          <t>Casos y Escenarios FuBank.xlsx</t>
        </is>
      </c>
      <c r="L315" s="5" t="inlineStr">
        <is>
          <t>Se crea un bolsillo con monto 0; el sistema lo permite y el saldo de la cuenta no cambia</t>
        </is>
      </c>
      <c r="M315" s="5" t="inlineStr">
        <is>
          <t>Según lo esperado</t>
        </is>
      </c>
      <c r="N315" s="7" t="inlineStr">
        <is>
          <t>Aprobado</t>
        </is>
      </c>
      <c r="O315" s="5" t="inlineStr">
        <is>
          <t>2026-10-10</t>
        </is>
      </c>
      <c r="P315" s="5" t="inlineStr">
        <is>
          <t>Excel (hoja Casos de Prueba Detallado)</t>
        </is>
      </c>
      <c r="Q315" s="5" t="inlineStr">
        <is>
          <t>-</t>
        </is>
      </c>
    </row>
    <row r="316">
      <c r="A316" s="5" t="inlineStr">
        <is>
          <t>Stiven Alejandro Bustamante</t>
        </is>
      </c>
      <c r="B316" s="5" t="inlineStr">
        <is>
          <t>Bolsillos</t>
        </is>
      </c>
      <c r="C316" s="5" t="inlineStr">
        <is>
          <t>HU-23</t>
        </is>
      </c>
      <c r="D316" s="5" t="inlineStr">
        <is>
          <t>Crear bolsillo</t>
        </is>
      </c>
      <c r="E316" s="5" t="inlineStr">
        <is>
          <t>ESC031</t>
        </is>
      </c>
      <c r="F316" s="5" t="inlineStr">
        <is>
          <t>TC-103</t>
        </is>
      </c>
      <c r="G316" s="5" t="inlineStr">
        <is>
          <t>Monto igual al saldo disponible (límite)</t>
        </is>
      </c>
      <c r="H316" s="5" t="inlineStr">
        <is>
          <t>Unitaria</t>
        </is>
      </c>
      <c r="I316" s="5" t="inlineStr">
        <is>
          <t>Funcional</t>
        </is>
      </c>
      <c r="J316" s="5" t="inlineStr">
        <is>
          <t>Casos del Excel (diseño + ejecución manual)</t>
        </is>
      </c>
      <c r="K316" s="5" t="inlineStr">
        <is>
          <t>Casos y Escenarios FuBank.xlsx</t>
        </is>
      </c>
      <c r="L316" s="5" t="inlineStr">
        <is>
          <t>Se crea un bolsillo reservando todo el saldo; el sistema lo permite y el saldo queda en 0</t>
        </is>
      </c>
      <c r="M316" s="5" t="inlineStr">
        <is>
          <t>Según lo esperado</t>
        </is>
      </c>
      <c r="N316" s="7" t="inlineStr">
        <is>
          <t>Aprobado</t>
        </is>
      </c>
      <c r="O316" s="5" t="inlineStr">
        <is>
          <t>2026-10-10</t>
        </is>
      </c>
      <c r="P316" s="5" t="inlineStr">
        <is>
          <t>Excel (hoja Casos de Prueba Detallado)</t>
        </is>
      </c>
      <c r="Q316" s="5" t="inlineStr">
        <is>
          <t>-</t>
        </is>
      </c>
    </row>
    <row r="317">
      <c r="A317" s="5" t="inlineStr">
        <is>
          <t>Stiven Alejandro Bustamante</t>
        </is>
      </c>
      <c r="B317" s="5" t="inlineStr">
        <is>
          <t>Bolsillos</t>
        </is>
      </c>
      <c r="C317" s="5" t="inlineStr">
        <is>
          <t>HU-23</t>
        </is>
      </c>
      <c r="D317" s="5" t="inlineStr">
        <is>
          <t>Crear bolsillo</t>
        </is>
      </c>
      <c r="E317" s="5" t="inlineStr">
        <is>
          <t>ESC031</t>
        </is>
      </c>
      <c r="F317" s="5" t="inlineStr">
        <is>
          <t>TC-104</t>
        </is>
      </c>
      <c r="G317" s="5" t="inlineStr">
        <is>
          <t>Nombre en longitud máxima (150)</t>
        </is>
      </c>
      <c r="H317" s="5" t="inlineStr">
        <is>
          <t>Unitaria</t>
        </is>
      </c>
      <c r="I317" s="5" t="inlineStr">
        <is>
          <t>Funcional</t>
        </is>
      </c>
      <c r="J317" s="5" t="inlineStr">
        <is>
          <t>Casos del Excel (diseño + ejecución manual)</t>
        </is>
      </c>
      <c r="K317" s="5" t="inlineStr">
        <is>
          <t>Casos y Escenarios FuBank.xlsx</t>
        </is>
      </c>
      <c r="L317" s="5" t="inlineStr">
        <is>
          <t>Se crea un bolsillo con un nombre de 150 caracteres; el sistema lo acepta</t>
        </is>
      </c>
      <c r="M317" s="5" t="inlineStr">
        <is>
          <t>Según lo esperado</t>
        </is>
      </c>
      <c r="N317" s="7" t="inlineStr">
        <is>
          <t>Aprobado</t>
        </is>
      </c>
      <c r="O317" s="5" t="inlineStr">
        <is>
          <t>2026-10-10</t>
        </is>
      </c>
      <c r="P317" s="5" t="inlineStr">
        <is>
          <t>Excel (hoja Casos de Prueba Detallado)</t>
        </is>
      </c>
      <c r="Q317" s="5" t="inlineStr">
        <is>
          <t>-</t>
        </is>
      </c>
    </row>
    <row r="318">
      <c r="A318" s="5" t="inlineStr">
        <is>
          <t>Stiven Alejandro Bustamante</t>
        </is>
      </c>
      <c r="B318" s="5" t="inlineStr">
        <is>
          <t>Bolsillos</t>
        </is>
      </c>
      <c r="C318" s="5" t="inlineStr">
        <is>
          <t>HU-23</t>
        </is>
      </c>
      <c r="D318" s="5" t="inlineStr">
        <is>
          <t>Crear bolsillo</t>
        </is>
      </c>
      <c r="E318" s="5" t="inlineStr">
        <is>
          <t>ESC031</t>
        </is>
      </c>
      <c r="F318" s="5" t="inlineStr">
        <is>
          <t>TC-105</t>
        </is>
      </c>
      <c r="G318" s="5" t="inlineStr">
        <is>
          <t>Generación de notificación</t>
        </is>
      </c>
      <c r="H318" s="5" t="inlineStr">
        <is>
          <t>Integración</t>
        </is>
      </c>
      <c r="I318" s="5" t="inlineStr">
        <is>
          <t>Funcional</t>
        </is>
      </c>
      <c r="J318" s="5" t="inlineStr">
        <is>
          <t>Casos del Excel (diseño + ejecución manual)</t>
        </is>
      </c>
      <c r="K318" s="5" t="inlineStr">
        <is>
          <t>Casos y Escenarios FuBank.xlsx</t>
        </is>
      </c>
      <c r="L318" s="5" t="inlineStr">
        <is>
          <t>Al crear el bolsillo el sistema registra la notificación "Bolsillo creado"</t>
        </is>
      </c>
      <c r="M318" s="5" t="inlineStr">
        <is>
          <t>Según lo esperado</t>
        </is>
      </c>
      <c r="N318" s="7" t="inlineStr">
        <is>
          <t>Aprobado</t>
        </is>
      </c>
      <c r="O318" s="5" t="inlineStr">
        <is>
          <t>2026-10-10</t>
        </is>
      </c>
      <c r="P318" s="5" t="inlineStr">
        <is>
          <t>Excel (hoja Casos de Prueba Detallado)</t>
        </is>
      </c>
      <c r="Q318" s="5" t="inlineStr">
        <is>
          <t>-</t>
        </is>
      </c>
    </row>
    <row r="319">
      <c r="A319" s="5" t="inlineStr">
        <is>
          <t>Stiven Alejandro Bustamante</t>
        </is>
      </c>
      <c r="B319" s="5" t="inlineStr">
        <is>
          <t>Bolsillos</t>
        </is>
      </c>
      <c r="C319" s="5" t="inlineStr">
        <is>
          <t>HU-23</t>
        </is>
      </c>
      <c r="D319" s="5" t="inlineStr">
        <is>
          <t>Crear bolsillo</t>
        </is>
      </c>
      <c r="E319" s="5" t="inlineStr">
        <is>
          <t>ESC032</t>
        </is>
      </c>
      <c r="F319" s="5" t="inlineStr">
        <is>
          <t>TC-106</t>
        </is>
      </c>
      <c r="G319" s="5" t="inlineStr">
        <is>
          <t>Monto negativo</t>
        </is>
      </c>
      <c r="H319" s="5" t="inlineStr">
        <is>
          <t>Unitaria</t>
        </is>
      </c>
      <c r="I319" s="5" t="inlineStr">
        <is>
          <t>Funcional</t>
        </is>
      </c>
      <c r="J319" s="5" t="inlineStr">
        <is>
          <t>Casos del Excel (diseño + ejecución manual)</t>
        </is>
      </c>
      <c r="K319" s="5" t="inlineStr">
        <is>
          <t>Casos y Escenarios FuBank.xlsx</t>
        </is>
      </c>
      <c r="L319" s="5" t="inlineStr">
        <is>
          <t>Se intenta crear con monto = -1; el sistema lo rechaza (INVALID_POCKET_AMOUNT) y no altera el saldo</t>
        </is>
      </c>
      <c r="M319" s="5" t="inlineStr">
        <is>
          <t>Según lo esperado</t>
        </is>
      </c>
      <c r="N319" s="7" t="inlineStr">
        <is>
          <t>Aprobado</t>
        </is>
      </c>
      <c r="O319" s="5" t="inlineStr">
        <is>
          <t>2026-10-10</t>
        </is>
      </c>
      <c r="P319" s="5" t="inlineStr">
        <is>
          <t>Excel (hoja Casos de Prueba Detallado)</t>
        </is>
      </c>
      <c r="Q319" s="5" t="inlineStr">
        <is>
          <t>-</t>
        </is>
      </c>
    </row>
    <row r="320">
      <c r="A320" s="5" t="inlineStr">
        <is>
          <t>Stiven Alejandro Bustamante</t>
        </is>
      </c>
      <c r="B320" s="5" t="inlineStr">
        <is>
          <t>Bolsillos</t>
        </is>
      </c>
      <c r="C320" s="5" t="inlineStr">
        <is>
          <t>HU-23</t>
        </is>
      </c>
      <c r="D320" s="5" t="inlineStr">
        <is>
          <t>Crear bolsillo</t>
        </is>
      </c>
      <c r="E320" s="5" t="inlineStr">
        <is>
          <t>ESC032</t>
        </is>
      </c>
      <c r="F320" s="5" t="inlineStr">
        <is>
          <t>TC-107</t>
        </is>
      </c>
      <c r="G320" s="5" t="inlineStr">
        <is>
          <t>Monto mayor al saldo disponible</t>
        </is>
      </c>
      <c r="H320" s="5" t="inlineStr">
        <is>
          <t>Unitaria</t>
        </is>
      </c>
      <c r="I320" s="5" t="inlineStr">
        <is>
          <t>Funcional</t>
        </is>
      </c>
      <c r="J320" s="5" t="inlineStr">
        <is>
          <t>Casos del Excel (diseño + ejecución manual)</t>
        </is>
      </c>
      <c r="K320" s="5" t="inlineStr">
        <is>
          <t>Casos y Escenarios FuBank.xlsx</t>
        </is>
      </c>
      <c r="L320" s="5" t="inlineStr">
        <is>
          <t>Se intenta crear con monto = saldo + 1; el sistema lo rechaza (INSUFFICIENT_AVAILABLE_BALANCE)</t>
        </is>
      </c>
      <c r="M320" s="5" t="inlineStr">
        <is>
          <t>Según lo esperado</t>
        </is>
      </c>
      <c r="N320" s="7" t="inlineStr">
        <is>
          <t>Aprobado</t>
        </is>
      </c>
      <c r="O320" s="5" t="inlineStr">
        <is>
          <t>2026-10-10</t>
        </is>
      </c>
      <c r="P320" s="5" t="inlineStr">
        <is>
          <t>Excel (hoja Casos de Prueba Detallado)</t>
        </is>
      </c>
      <c r="Q320" s="5" t="inlineStr">
        <is>
          <t>-</t>
        </is>
      </c>
    </row>
    <row r="321">
      <c r="A321" s="5" t="inlineStr">
        <is>
          <t>Stiven Alejandro Bustamante</t>
        </is>
      </c>
      <c r="B321" s="5" t="inlineStr">
        <is>
          <t>Bolsillos</t>
        </is>
      </c>
      <c r="C321" s="5" t="inlineStr">
        <is>
          <t>HU-23</t>
        </is>
      </c>
      <c r="D321" s="5" t="inlineStr">
        <is>
          <t>Crear bolsillo</t>
        </is>
      </c>
      <c r="E321" s="5" t="inlineStr">
        <is>
          <t>ESC032</t>
        </is>
      </c>
      <c r="F321" s="5" t="inlineStr">
        <is>
          <t>TC-108</t>
        </is>
      </c>
      <c r="G321" s="5" t="inlineStr">
        <is>
          <t>Monto que supera lo ya reservado</t>
        </is>
      </c>
      <c r="H321" s="5" t="inlineStr">
        <is>
          <t>Integración</t>
        </is>
      </c>
      <c r="I321" s="5" t="inlineStr">
        <is>
          <t>Funcional</t>
        </is>
      </c>
      <c r="J321" s="5" t="inlineStr">
        <is>
          <t>Casos del Excel (diseño + ejecución manual)</t>
        </is>
      </c>
      <c r="K321" s="5" t="inlineStr">
        <is>
          <t>Casos y Escenarios FuBank.xlsx</t>
        </is>
      </c>
      <c r="L321" s="5" t="inlineStr">
        <is>
          <t>Con bolsillos previos, el nuevo monto supera el saldo disponible; el sistema lo rechaza (INSUFFICIENT_AVAILABLE_BALANCE)</t>
        </is>
      </c>
      <c r="M321" s="5" t="inlineStr">
        <is>
          <t>Según lo esperado</t>
        </is>
      </c>
      <c r="N321" s="7" t="inlineStr">
        <is>
          <t>Aprobado</t>
        </is>
      </c>
      <c r="O321" s="5" t="inlineStr">
        <is>
          <t>2026-10-10</t>
        </is>
      </c>
      <c r="P321" s="5" t="inlineStr">
        <is>
          <t>Excel (hoja Casos de Prueba Detallado)</t>
        </is>
      </c>
      <c r="Q321" s="5" t="inlineStr">
        <is>
          <t>-</t>
        </is>
      </c>
    </row>
    <row r="322">
      <c r="A322" s="5" t="inlineStr">
        <is>
          <t>Stiven Alejandro Bustamante</t>
        </is>
      </c>
      <c r="B322" s="5" t="inlineStr">
        <is>
          <t>Bolsillos</t>
        </is>
      </c>
      <c r="C322" s="5" t="inlineStr">
        <is>
          <t>HU-23</t>
        </is>
      </c>
      <c r="D322" s="5" t="inlineStr">
        <is>
          <t>Crear bolsillo</t>
        </is>
      </c>
      <c r="E322" s="5" t="inlineStr">
        <is>
          <t>ESC033</t>
        </is>
      </c>
      <c r="F322" s="5" t="inlineStr">
        <is>
          <t>TC-109</t>
        </is>
      </c>
      <c r="G322" s="5" t="inlineStr">
        <is>
          <t>Nombre vacío</t>
        </is>
      </c>
      <c r="H322" s="5" t="inlineStr">
        <is>
          <t>Unitaria</t>
        </is>
      </c>
      <c r="I322" s="5" t="inlineStr">
        <is>
          <t>Funcional</t>
        </is>
      </c>
      <c r="J322" s="5" t="inlineStr">
        <is>
          <t>Casos del Excel (diseño + ejecución manual)</t>
        </is>
      </c>
      <c r="K322" s="5" t="inlineStr">
        <is>
          <t>Casos y Escenarios FuBank.xlsx</t>
        </is>
      </c>
      <c r="L322" s="5" t="inlineStr">
        <is>
          <t>Se intenta crear con nombre vacío; el sistema lo rechaza porque el nombre es obligatorio</t>
        </is>
      </c>
      <c r="M322" s="5" t="inlineStr">
        <is>
          <t>Según lo esperado</t>
        </is>
      </c>
      <c r="N322" s="7" t="inlineStr">
        <is>
          <t>Aprobado</t>
        </is>
      </c>
      <c r="O322" s="5" t="inlineStr">
        <is>
          <t>2026-10-10</t>
        </is>
      </c>
      <c r="P322" s="5" t="inlineStr">
        <is>
          <t>Excel (hoja Casos de Prueba Detallado)</t>
        </is>
      </c>
      <c r="Q322" s="5" t="inlineStr">
        <is>
          <t>-</t>
        </is>
      </c>
    </row>
    <row r="323">
      <c r="A323" s="5" t="inlineStr">
        <is>
          <t>Stiven Alejandro Bustamante</t>
        </is>
      </c>
      <c r="B323" s="5" t="inlineStr">
        <is>
          <t>Bolsillos</t>
        </is>
      </c>
      <c r="C323" s="5" t="inlineStr">
        <is>
          <t>HU-23</t>
        </is>
      </c>
      <c r="D323" s="5" t="inlineStr">
        <is>
          <t>Crear bolsillo</t>
        </is>
      </c>
      <c r="E323" s="5" t="inlineStr">
        <is>
          <t>ESC033</t>
        </is>
      </c>
      <c r="F323" s="5" t="inlineStr">
        <is>
          <t>TC-110</t>
        </is>
      </c>
      <c r="G323" s="5" t="inlineStr">
        <is>
          <t>Nombre solo espacios</t>
        </is>
      </c>
      <c r="H323" s="5" t="inlineStr">
        <is>
          <t>Unitaria</t>
        </is>
      </c>
      <c r="I323" s="5" t="inlineStr">
        <is>
          <t>Funcional</t>
        </is>
      </c>
      <c r="J323" s="5" t="inlineStr">
        <is>
          <t>Casos del Excel (diseño + ejecución manual)</t>
        </is>
      </c>
      <c r="K323" s="5" t="inlineStr">
        <is>
          <t>Casos y Escenarios FuBank.xlsx</t>
        </is>
      </c>
      <c r="L323" s="5" t="inlineStr">
        <is>
          <t>Se intenta crear con un nombre compuesto solo por espacios; el sistema lo rechaza</t>
        </is>
      </c>
      <c r="M323" s="5" t="inlineStr">
        <is>
          <t>Según lo esperado</t>
        </is>
      </c>
      <c r="N323" s="7" t="inlineStr">
        <is>
          <t>Aprobado</t>
        </is>
      </c>
      <c r="O323" s="5" t="inlineStr">
        <is>
          <t>2026-10-10</t>
        </is>
      </c>
      <c r="P323" s="5" t="inlineStr">
        <is>
          <t>Excel (hoja Casos de Prueba Detallado)</t>
        </is>
      </c>
      <c r="Q323" s="5" t="inlineStr">
        <is>
          <t>DEF-001 (corregido)</t>
        </is>
      </c>
    </row>
    <row r="324">
      <c r="A324" s="5" t="inlineStr">
        <is>
          <t>Stiven Alejandro Bustamante</t>
        </is>
      </c>
      <c r="B324" s="5" t="inlineStr">
        <is>
          <t>Bolsillos</t>
        </is>
      </c>
      <c r="C324" s="5" t="inlineStr">
        <is>
          <t>HU-23</t>
        </is>
      </c>
      <c r="D324" s="5" t="inlineStr">
        <is>
          <t>Crear bolsillo</t>
        </is>
      </c>
      <c r="E324" s="5" t="inlineStr">
        <is>
          <t>ESC033</t>
        </is>
      </c>
      <c r="F324" s="5" t="inlineStr">
        <is>
          <t>TC-111</t>
        </is>
      </c>
      <c r="G324" s="5" t="inlineStr">
        <is>
          <t>Nombre excede 150 caracteres</t>
        </is>
      </c>
      <c r="H324" s="5" t="inlineStr">
        <is>
          <t>Unitaria</t>
        </is>
      </c>
      <c r="I324" s="5" t="inlineStr">
        <is>
          <t>Funcional</t>
        </is>
      </c>
      <c r="J324" s="5" t="inlineStr">
        <is>
          <t>Casos del Excel (diseño + ejecución manual)</t>
        </is>
      </c>
      <c r="K324" s="5" t="inlineStr">
        <is>
          <t>Casos y Escenarios FuBank.xlsx</t>
        </is>
      </c>
      <c r="L324" s="5" t="inlineStr">
        <is>
          <t>Se intenta crear con un nombre de más de 150 caracteres; el sistema lo rechaza (máx 150)</t>
        </is>
      </c>
      <c r="M324" s="5" t="inlineStr">
        <is>
          <t>Según lo esperado</t>
        </is>
      </c>
      <c r="N324" s="7" t="inlineStr">
        <is>
          <t>Aprobado</t>
        </is>
      </c>
      <c r="O324" s="5" t="inlineStr">
        <is>
          <t>2026-10-10</t>
        </is>
      </c>
      <c r="P324" s="5" t="inlineStr">
        <is>
          <t>Excel (hoja Casos de Prueba Detallado)</t>
        </is>
      </c>
      <c r="Q324" s="5" t="inlineStr">
        <is>
          <t>-</t>
        </is>
      </c>
    </row>
    <row r="325">
      <c r="A325" s="5" t="inlineStr">
        <is>
          <t>Stiven Alejandro Bustamante</t>
        </is>
      </c>
      <c r="B325" s="5" t="inlineStr">
        <is>
          <t>Bolsillos</t>
        </is>
      </c>
      <c r="C325" s="5" t="inlineStr">
        <is>
          <t>HU-23</t>
        </is>
      </c>
      <c r="D325" s="5" t="inlineStr">
        <is>
          <t>Crear bolsillo</t>
        </is>
      </c>
      <c r="E325" s="5" t="inlineStr">
        <is>
          <t>crear_bolsillo.feature</t>
        </is>
      </c>
      <c r="F325" s="5" t="inlineStr">
        <is>
          <t>CY-CREA-01</t>
        </is>
      </c>
      <c r="G325" s="5" t="inlineStr">
        <is>
          <t>Crear un bolsillo descuenta el monto del saldo de la cuenta</t>
        </is>
      </c>
      <c r="H325" s="5" t="inlineStr">
        <is>
          <t>Integración (API)</t>
        </is>
      </c>
      <c r="I325" s="5" t="inlineStr">
        <is>
          <t>Funcional</t>
        </is>
      </c>
      <c r="J325" s="5" t="inlineStr">
        <is>
          <t>Cypress + Gherkin (Bolsillos)</t>
        </is>
      </c>
      <c r="K325" s="5" t="inlineStr">
        <is>
          <t>e2e/serenity/features/bolsillos/crear_bolsillo.feature</t>
        </is>
      </c>
      <c r="L325" s="5" t="inlineStr">
        <is>
          <t>la respuesta HTTP tiene estado 201; el saldo de su cuenta es 400000</t>
        </is>
      </c>
      <c r="M325" s="5" t="inlineStr">
        <is>
          <t>Todos los pasos pasaron</t>
        </is>
      </c>
      <c r="N325" s="7" t="inlineStr">
        <is>
          <t>Aprobado</t>
        </is>
      </c>
      <c r="O325" s="5" t="inlineStr">
        <is>
          <t>2026-10-27</t>
        </is>
      </c>
      <c r="P325" s="5" t="inlineStr">
        <is>
          <t>docs/evidencia-cypress-bolsillos/despues/cucumber-report.html</t>
        </is>
      </c>
      <c r="Q325" s="5" t="inlineStr">
        <is>
          <t>-</t>
        </is>
      </c>
    </row>
    <row r="326">
      <c r="A326" s="5" t="inlineStr">
        <is>
          <t>Stiven Alejandro Bustamante</t>
        </is>
      </c>
      <c r="B326" s="5" t="inlineStr">
        <is>
          <t>Bolsillos</t>
        </is>
      </c>
      <c r="C326" s="5" t="inlineStr">
        <is>
          <t>HU-23</t>
        </is>
      </c>
      <c r="D326" s="5" t="inlineStr">
        <is>
          <t>Crear bolsillo</t>
        </is>
      </c>
      <c r="E326" s="5" t="inlineStr">
        <is>
          <t>crear_bolsillo.feature</t>
        </is>
      </c>
      <c r="F326" s="5" t="inlineStr">
        <is>
          <t>CY-CREA-02</t>
        </is>
      </c>
      <c r="G326" s="5" t="inlineStr">
        <is>
          <t>Se puede apartar todo el saldo disponible</t>
        </is>
      </c>
      <c r="H326" s="5" t="inlineStr">
        <is>
          <t>Integración (API)</t>
        </is>
      </c>
      <c r="I326" s="5" t="inlineStr">
        <is>
          <t>Funcional</t>
        </is>
      </c>
      <c r="J326" s="5" t="inlineStr">
        <is>
          <t>Cypress + Gherkin (Bolsillos)</t>
        </is>
      </c>
      <c r="K326" s="5" t="inlineStr">
        <is>
          <t>e2e/serenity/features/bolsillos/crear_bolsillo.feature</t>
        </is>
      </c>
      <c r="L326" s="5" t="inlineStr">
        <is>
          <t>la respuesta HTTP tiene estado 201; el saldo de su cuenta es 0</t>
        </is>
      </c>
      <c r="M326" s="5" t="inlineStr">
        <is>
          <t>Todos los pasos pasaron</t>
        </is>
      </c>
      <c r="N326" s="7" t="inlineStr">
        <is>
          <t>Aprobado</t>
        </is>
      </c>
      <c r="O326" s="5" t="inlineStr">
        <is>
          <t>2026-10-27</t>
        </is>
      </c>
      <c r="P326" s="5" t="inlineStr">
        <is>
          <t>docs/evidencia-cypress-bolsillos/despues/cucumber-report.html</t>
        </is>
      </c>
      <c r="Q326" s="5" t="inlineStr">
        <is>
          <t>-</t>
        </is>
      </c>
    </row>
    <row r="327">
      <c r="A327" s="5" t="inlineStr">
        <is>
          <t>Stiven Alejandro Bustamante</t>
        </is>
      </c>
      <c r="B327" s="5" t="inlineStr">
        <is>
          <t>Bolsillos</t>
        </is>
      </c>
      <c r="C327" s="5" t="inlineStr">
        <is>
          <t>HU-23</t>
        </is>
      </c>
      <c r="D327" s="5" t="inlineStr">
        <is>
          <t>Crear bolsillo</t>
        </is>
      </c>
      <c r="E327" s="5" t="inlineStr">
        <is>
          <t>crear_bolsillo.feature</t>
        </is>
      </c>
      <c r="F327" s="5" t="inlineStr">
        <is>
          <t>CY-CREA-03</t>
        </is>
      </c>
      <c r="G327" s="5" t="inlineStr">
        <is>
          <t>Rechazar un bolsillo con nombre vacío</t>
        </is>
      </c>
      <c r="H327" s="5" t="inlineStr">
        <is>
          <t>Integración (API)</t>
        </is>
      </c>
      <c r="I327" s="5" t="inlineStr">
        <is>
          <t>Funcional</t>
        </is>
      </c>
      <c r="J327" s="5" t="inlineStr">
        <is>
          <t>Cypress + Gherkin (Bolsillos)</t>
        </is>
      </c>
      <c r="K327" s="5" t="inlineStr">
        <is>
          <t>e2e/serenity/features/bolsillos/crear_bolsillo.feature</t>
        </is>
      </c>
      <c r="L327" s="5" t="inlineStr">
        <is>
          <t>la respuesta HTTP tiene estado 400; el código de error es "VALIDATION_ERROR"; el saldo de su cuenta es 500000</t>
        </is>
      </c>
      <c r="M327" s="5" t="inlineStr">
        <is>
          <t>Todos los pasos pasaron</t>
        </is>
      </c>
      <c r="N327" s="7" t="inlineStr">
        <is>
          <t>Aprobado</t>
        </is>
      </c>
      <c r="O327" s="5" t="inlineStr">
        <is>
          <t>2026-10-27</t>
        </is>
      </c>
      <c r="P327" s="5" t="inlineStr">
        <is>
          <t>docs/evidencia-cypress-bolsillos/despues/cucumber-report.html</t>
        </is>
      </c>
      <c r="Q327" s="5" t="inlineStr">
        <is>
          <t>-</t>
        </is>
      </c>
    </row>
    <row r="328">
      <c r="A328" s="5" t="inlineStr">
        <is>
          <t>Stiven Alejandro Bustamante</t>
        </is>
      </c>
      <c r="B328" s="5" t="inlineStr">
        <is>
          <t>Bolsillos</t>
        </is>
      </c>
      <c r="C328" s="5" t="inlineStr">
        <is>
          <t>HU-23</t>
        </is>
      </c>
      <c r="D328" s="5" t="inlineStr">
        <is>
          <t>Crear bolsillo</t>
        </is>
      </c>
      <c r="E328" s="5" t="inlineStr">
        <is>
          <t>crear_bolsillo.feature</t>
        </is>
      </c>
      <c r="F328" s="5" t="inlineStr">
        <is>
          <t>CY-CREA-04</t>
        </is>
      </c>
      <c r="G328" s="5" t="inlineStr">
        <is>
          <t>Rechazar un bolsillo con monto negativo</t>
        </is>
      </c>
      <c r="H328" s="5" t="inlineStr">
        <is>
          <t>Integración (API)</t>
        </is>
      </c>
      <c r="I328" s="5" t="inlineStr">
        <is>
          <t>Funcional</t>
        </is>
      </c>
      <c r="J328" s="5" t="inlineStr">
        <is>
          <t>Cypress + Gherkin (Bolsillos)</t>
        </is>
      </c>
      <c r="K328" s="5" t="inlineStr">
        <is>
          <t>e2e/serenity/features/bolsillos/crear_bolsillo.feature</t>
        </is>
      </c>
      <c r="L328" s="5" t="inlineStr">
        <is>
          <t>la respuesta HTTP tiene estado 400; el código de error es "VALIDATION_ERROR"; el saldo de su cuenta es 500000</t>
        </is>
      </c>
      <c r="M328" s="5" t="inlineStr">
        <is>
          <t>Todos los pasos pasaron</t>
        </is>
      </c>
      <c r="N328" s="7" t="inlineStr">
        <is>
          <t>Aprobado</t>
        </is>
      </c>
      <c r="O328" s="5" t="inlineStr">
        <is>
          <t>2026-10-27</t>
        </is>
      </c>
      <c r="P328" s="5" t="inlineStr">
        <is>
          <t>docs/evidencia-cypress-bolsillos/despues/cucumber-report.html</t>
        </is>
      </c>
      <c r="Q328" s="5" t="inlineStr">
        <is>
          <t>-</t>
        </is>
      </c>
    </row>
    <row r="329">
      <c r="A329" s="5" t="inlineStr">
        <is>
          <t>Stiven Alejandro Bustamante</t>
        </is>
      </c>
      <c r="B329" s="5" t="inlineStr">
        <is>
          <t>Bolsillos</t>
        </is>
      </c>
      <c r="C329" s="5" t="inlineStr">
        <is>
          <t>HU-23</t>
        </is>
      </c>
      <c r="D329" s="5" t="inlineStr">
        <is>
          <t>Crear bolsillo</t>
        </is>
      </c>
      <c r="E329" s="5" t="inlineStr">
        <is>
          <t>crear_bolsillo.feature</t>
        </is>
      </c>
      <c r="F329" s="5" t="inlineStr">
        <is>
          <t>CY-CREA-05</t>
        </is>
      </c>
      <c r="G329" s="5" t="inlineStr">
        <is>
          <t>Rechazar un bolsillo con monto mayor al saldo</t>
        </is>
      </c>
      <c r="H329" s="5" t="inlineStr">
        <is>
          <t>Integración (API)</t>
        </is>
      </c>
      <c r="I329" s="5" t="inlineStr">
        <is>
          <t>Funcional</t>
        </is>
      </c>
      <c r="J329" s="5" t="inlineStr">
        <is>
          <t>Cypress + Gherkin (Bolsillos)</t>
        </is>
      </c>
      <c r="K329" s="5" t="inlineStr">
        <is>
          <t>e2e/serenity/features/bolsillos/crear_bolsillo.feature</t>
        </is>
      </c>
      <c r="L329" s="5" t="inlineStr">
        <is>
          <t>la respuesta HTTP tiene estado 400; el código de error es "INSUFFICIENT_AVAILABLE_BALANCE"; el saldo de su cuenta es 500000</t>
        </is>
      </c>
      <c r="M329" s="5" t="inlineStr">
        <is>
          <t>Todos los pasos pasaron</t>
        </is>
      </c>
      <c r="N329" s="7" t="inlineStr">
        <is>
          <t>Aprobado</t>
        </is>
      </c>
      <c r="O329" s="5" t="inlineStr">
        <is>
          <t>2026-10-27</t>
        </is>
      </c>
      <c r="P329" s="5" t="inlineStr">
        <is>
          <t>docs/evidencia-cypress-bolsillos/despues/cucumber-report.html</t>
        </is>
      </c>
      <c r="Q329" s="5" t="inlineStr">
        <is>
          <t>-</t>
        </is>
      </c>
    </row>
    <row r="330">
      <c r="A330" s="5" t="inlineStr">
        <is>
          <t>Stiven Alejandro Bustamante</t>
        </is>
      </c>
      <c r="B330" s="5" t="inlineStr">
        <is>
          <t>Bolsillos</t>
        </is>
      </c>
      <c r="C330" s="5" t="inlineStr">
        <is>
          <t>HU-23</t>
        </is>
      </c>
      <c r="D330" s="5" t="inlineStr">
        <is>
          <t>Crear bolsillo</t>
        </is>
      </c>
      <c r="E330" s="5" t="inlineStr">
        <is>
          <t>crear_bolsillo.feature</t>
        </is>
      </c>
      <c r="F330" s="5" t="inlineStr">
        <is>
          <t>CY-CREA-06</t>
        </is>
      </c>
      <c r="G330" s="5" t="inlineStr">
        <is>
          <t>Crear un bolsillo desde la pantalla de bolsillos</t>
        </is>
      </c>
      <c r="H330" s="5" t="inlineStr">
        <is>
          <t>Sistema (E2E)</t>
        </is>
      </c>
      <c r="I330" s="5" t="inlineStr">
        <is>
          <t>Funcional</t>
        </is>
      </c>
      <c r="J330" s="5" t="inlineStr">
        <is>
          <t>Cypress + Gherkin (Bolsillos)</t>
        </is>
      </c>
      <c r="K330" s="5" t="inlineStr">
        <is>
          <t>e2e/serenity/features/bolsillos/crear_bolsillo.feature</t>
        </is>
      </c>
      <c r="L330" s="5" t="inlineStr">
        <is>
          <t>ella ve la notificación "Bolsillo creado"; ella ve el bolsillo "Vacaciones" con 100000; el saldo de su cuenta es 400000</t>
        </is>
      </c>
      <c r="M330" s="5" t="inlineStr">
        <is>
          <t>Todos los pasos pasaron</t>
        </is>
      </c>
      <c r="N330" s="7" t="inlineStr">
        <is>
          <t>Aprobado</t>
        </is>
      </c>
      <c r="O330" s="5" t="inlineStr">
        <is>
          <t>2026-10-27</t>
        </is>
      </c>
      <c r="P330" s="5" t="inlineStr">
        <is>
          <t>docs/evidencia-cypress-bolsillos/despues/cucumber-report.html</t>
        </is>
      </c>
      <c r="Q330" s="5" t="inlineStr">
        <is>
          <t>-</t>
        </is>
      </c>
    </row>
    <row r="331">
      <c r="A331" s="5" t="inlineStr">
        <is>
          <t>Stiven Alejandro Bustamante</t>
        </is>
      </c>
      <c r="B331" s="5" t="inlineStr">
        <is>
          <t>Bolsillos</t>
        </is>
      </c>
      <c r="C331" s="5" t="inlineStr">
        <is>
          <t>HU-23</t>
        </is>
      </c>
      <c r="D331" s="5" t="inlineStr">
        <is>
          <t>Crear bolsillo</t>
        </is>
      </c>
      <c r="E331" s="5" t="inlineStr">
        <is>
          <t>crear_bolsillo.feature</t>
        </is>
      </c>
      <c r="F331" s="5" t="inlineStr">
        <is>
          <t>CY-CREA-07</t>
        </is>
      </c>
      <c r="G331" s="5" t="inlineStr">
        <is>
          <t>La pantalla pide el nombre antes de crear el bolsillo</t>
        </is>
      </c>
      <c r="H331" s="5" t="inlineStr">
        <is>
          <t>Sistema (E2E)</t>
        </is>
      </c>
      <c r="I331" s="5" t="inlineStr">
        <is>
          <t>Funcional</t>
        </is>
      </c>
      <c r="J331" s="5" t="inlineStr">
        <is>
          <t>Cypress + Gherkin (Bolsillos)</t>
        </is>
      </c>
      <c r="K331" s="5" t="inlineStr">
        <is>
          <t>e2e/serenity/features/bolsillos/crear_bolsillo.feature</t>
        </is>
      </c>
      <c r="L331" s="5" t="inlineStr">
        <is>
          <t>ella ve la notificación "Falta información"; el saldo de su cuenta es 500000</t>
        </is>
      </c>
      <c r="M331" s="5" t="inlineStr">
        <is>
          <t>Todos los pasos pasaron</t>
        </is>
      </c>
      <c r="N331" s="7" t="inlineStr">
        <is>
          <t>Aprobado</t>
        </is>
      </c>
      <c r="O331" s="5" t="inlineStr">
        <is>
          <t>2026-10-27</t>
        </is>
      </c>
      <c r="P331" s="5" t="inlineStr">
        <is>
          <t>docs/evidencia-cypress-bolsillos/despues/cucumber-report.html</t>
        </is>
      </c>
      <c r="Q331" s="5" t="inlineStr">
        <is>
          <t>-</t>
        </is>
      </c>
    </row>
    <row r="332">
      <c r="A332" s="5" t="inlineStr">
        <is>
          <t>Stiven Alejandro Bustamante</t>
        </is>
      </c>
      <c r="B332" s="5" t="inlineStr">
        <is>
          <t>Bolsillos</t>
        </is>
      </c>
      <c r="C332" s="5" t="inlineStr">
        <is>
          <t>HU-23</t>
        </is>
      </c>
      <c r="D332" s="5" t="inlineStr">
        <is>
          <t>Crear bolsillo</t>
        </is>
      </c>
      <c r="E332" s="5" t="inlineStr">
        <is>
          <t>test-set-0</t>
        </is>
      </c>
      <c r="F332" s="5" t="inlineStr">
        <is>
          <t>KP-post-api-v1-pockets-1</t>
        </is>
      </c>
      <c r="G332" s="5" t="inlineStr">
        <is>
          <t>post-api-v1-pockets-1</t>
        </is>
      </c>
      <c r="H332" s="5" t="inlineStr">
        <is>
          <t>Integración (API, mocks de Supabase)</t>
        </is>
      </c>
      <c r="I332" s="5" t="inlineStr">
        <is>
          <t>Regresión</t>
        </is>
      </c>
      <c r="J332" s="5" t="inlineStr">
        <is>
          <t>IA · Keploy (Alejandro)</t>
        </is>
      </c>
      <c r="K332" s="5" t="inlineStr">
        <is>
          <t>03-keploy/evidence/test-set-0-saneado/tests/post-api-v1-pockets-1.yaml</t>
        </is>
      </c>
      <c r="L332" s="5" t="inlineStr">
        <is>
          <t>Respuesta igual a la grabada (ruido: token, id, Etag)</t>
        </is>
      </c>
      <c r="M332" s="5" t="inlineStr">
        <is>
          <t>Reproducido igual a lo grabado</t>
        </is>
      </c>
      <c r="N332" s="7" t="inlineStr">
        <is>
          <t>Aprobado</t>
        </is>
      </c>
      <c r="O332" s="5" t="inlineStr">
        <is>
          <t>2026-10-27</t>
        </is>
      </c>
      <c r="P332" s="5" t="inlineStr">
        <is>
          <t>03-keploy/evidence/02-replay-con-ruido-50-de-50.txt</t>
        </is>
      </c>
      <c r="Q332" s="5" t="inlineStr">
        <is>
          <t>-</t>
        </is>
      </c>
    </row>
    <row r="333">
      <c r="A333" s="5" t="inlineStr">
        <is>
          <t>Stiven Alejandro Bustamante</t>
        </is>
      </c>
      <c r="B333" s="5" t="inlineStr">
        <is>
          <t>Bolsillos</t>
        </is>
      </c>
      <c r="C333" s="5" t="inlineStr">
        <is>
          <t>HU-23</t>
        </is>
      </c>
      <c r="D333" s="5" t="inlineStr">
        <is>
          <t>Crear bolsillo</t>
        </is>
      </c>
      <c r="E333" s="5" t="inlineStr">
        <is>
          <t>test-set-0</t>
        </is>
      </c>
      <c r="F333" s="5" t="inlineStr">
        <is>
          <t>KP-post-api-v1-pockets-2</t>
        </is>
      </c>
      <c r="G333" s="5" t="inlineStr">
        <is>
          <t>post-api-v1-pockets-2</t>
        </is>
      </c>
      <c r="H333" s="5" t="inlineStr">
        <is>
          <t>Integración (API, mocks de Supabase)</t>
        </is>
      </c>
      <c r="I333" s="5" t="inlineStr">
        <is>
          <t>Regresión</t>
        </is>
      </c>
      <c r="J333" s="5" t="inlineStr">
        <is>
          <t>IA · Keploy (Alejandro)</t>
        </is>
      </c>
      <c r="K333" s="5" t="inlineStr">
        <is>
          <t>03-keploy/evidence/test-set-0-saneado/tests/post-api-v1-pockets-2.yaml</t>
        </is>
      </c>
      <c r="L333" s="5" t="inlineStr">
        <is>
          <t>Respuesta igual a la grabada (ruido: token, id, Etag)</t>
        </is>
      </c>
      <c r="M333" s="5" t="inlineStr">
        <is>
          <t>Reproducido igual a lo grabado</t>
        </is>
      </c>
      <c r="N333" s="7" t="inlineStr">
        <is>
          <t>Aprobado</t>
        </is>
      </c>
      <c r="O333" s="5" t="inlineStr">
        <is>
          <t>2026-10-27</t>
        </is>
      </c>
      <c r="P333" s="5" t="inlineStr">
        <is>
          <t>03-keploy/evidence/02-replay-con-ruido-50-de-50.txt</t>
        </is>
      </c>
      <c r="Q333" s="5" t="inlineStr">
        <is>
          <t>-</t>
        </is>
      </c>
    </row>
    <row r="334">
      <c r="A334" s="5" t="inlineStr">
        <is>
          <t>Stiven Alejandro Bustamante</t>
        </is>
      </c>
      <c r="B334" s="5" t="inlineStr">
        <is>
          <t>Bolsillos</t>
        </is>
      </c>
      <c r="C334" s="5" t="inlineStr">
        <is>
          <t>HU-23</t>
        </is>
      </c>
      <c r="D334" s="5" t="inlineStr">
        <is>
          <t>Crear bolsillo</t>
        </is>
      </c>
      <c r="E334" s="5" t="inlineStr">
        <is>
          <t>test-set-0</t>
        </is>
      </c>
      <c r="F334" s="5" t="inlineStr">
        <is>
          <t>KP-post-api-v1-pockets-3</t>
        </is>
      </c>
      <c r="G334" s="5" t="inlineStr">
        <is>
          <t>post-api-v1-pockets-3</t>
        </is>
      </c>
      <c r="H334" s="5" t="inlineStr">
        <is>
          <t>Integración (API, mocks de Supabase)</t>
        </is>
      </c>
      <c r="I334" s="5" t="inlineStr">
        <is>
          <t>Regresión</t>
        </is>
      </c>
      <c r="J334" s="5" t="inlineStr">
        <is>
          <t>IA · Keploy (Alejandro)</t>
        </is>
      </c>
      <c r="K334" s="5" t="inlineStr">
        <is>
          <t>03-keploy/evidence/test-set-0-saneado/tests/post-api-v1-pockets-3.yaml</t>
        </is>
      </c>
      <c r="L334" s="5" t="inlineStr">
        <is>
          <t>Respuesta igual a la grabada (ruido: token, id, Etag)</t>
        </is>
      </c>
      <c r="M334" s="5" t="inlineStr">
        <is>
          <t>Reproducido igual a lo grabado</t>
        </is>
      </c>
      <c r="N334" s="7" t="inlineStr">
        <is>
          <t>Aprobado</t>
        </is>
      </c>
      <c r="O334" s="5" t="inlineStr">
        <is>
          <t>2026-10-27</t>
        </is>
      </c>
      <c r="P334" s="5" t="inlineStr">
        <is>
          <t>03-keploy/evidence/02-replay-con-ruido-50-de-50.txt</t>
        </is>
      </c>
      <c r="Q334" s="5" t="inlineStr">
        <is>
          <t>-</t>
        </is>
      </c>
    </row>
    <row r="335">
      <c r="A335" s="5" t="inlineStr">
        <is>
          <t>Stiven Alejandro Bustamante</t>
        </is>
      </c>
      <c r="B335" s="5" t="inlineStr">
        <is>
          <t>Bolsillos</t>
        </is>
      </c>
      <c r="C335" s="5" t="inlineStr">
        <is>
          <t>HU-23</t>
        </is>
      </c>
      <c r="D335" s="5" t="inlineStr">
        <is>
          <t>Crear bolsillo</t>
        </is>
      </c>
      <c r="E335" s="5" t="inlineStr">
        <is>
          <t>test-set-0</t>
        </is>
      </c>
      <c r="F335" s="5" t="inlineStr">
        <is>
          <t>KP-post-api-v1-pockets-4</t>
        </is>
      </c>
      <c r="G335" s="5" t="inlineStr">
        <is>
          <t>post-api-v1-pockets-4</t>
        </is>
      </c>
      <c r="H335" s="5" t="inlineStr">
        <is>
          <t>Integración (API, mocks de Supabase)</t>
        </is>
      </c>
      <c r="I335" s="5" t="inlineStr">
        <is>
          <t>Regresión</t>
        </is>
      </c>
      <c r="J335" s="5" t="inlineStr">
        <is>
          <t>IA · Keploy (Alejandro)</t>
        </is>
      </c>
      <c r="K335" s="5" t="inlineStr">
        <is>
          <t>03-keploy/evidence/test-set-0-saneado/tests/post-api-v1-pockets-4.yaml</t>
        </is>
      </c>
      <c r="L335" s="5" t="inlineStr">
        <is>
          <t>Respuesta igual a la grabada (ruido: token, id, Etag)</t>
        </is>
      </c>
      <c r="M335" s="5" t="inlineStr">
        <is>
          <t>Reproducido igual a lo grabado</t>
        </is>
      </c>
      <c r="N335" s="7" t="inlineStr">
        <is>
          <t>Aprobado</t>
        </is>
      </c>
      <c r="O335" s="5" t="inlineStr">
        <is>
          <t>2026-10-27</t>
        </is>
      </c>
      <c r="P335" s="5" t="inlineStr">
        <is>
          <t>03-keploy/evidence/02-replay-con-ruido-50-de-50.txt</t>
        </is>
      </c>
      <c r="Q335" s="5" t="inlineStr">
        <is>
          <t>-</t>
        </is>
      </c>
    </row>
    <row r="336">
      <c r="A336" s="5" t="inlineStr">
        <is>
          <t>Stiven Alejandro Bustamante</t>
        </is>
      </c>
      <c r="B336" s="5" t="inlineStr">
        <is>
          <t>Bolsillos</t>
        </is>
      </c>
      <c r="C336" s="5" t="inlineStr">
        <is>
          <t>HU-23</t>
        </is>
      </c>
      <c r="D336" s="5" t="inlineStr">
        <is>
          <t>Crear bolsillo</t>
        </is>
      </c>
      <c r="E336" s="5" t="inlineStr">
        <is>
          <t>test-set-0</t>
        </is>
      </c>
      <c r="F336" s="5" t="inlineStr">
        <is>
          <t>KP-post-api-v1-pockets-5</t>
        </is>
      </c>
      <c r="G336" s="5" t="inlineStr">
        <is>
          <t>post-api-v1-pockets-5</t>
        </is>
      </c>
      <c r="H336" s="5" t="inlineStr">
        <is>
          <t>Integración (API, mocks de Supabase)</t>
        </is>
      </c>
      <c r="I336" s="5" t="inlineStr">
        <is>
          <t>Regresión</t>
        </is>
      </c>
      <c r="J336" s="5" t="inlineStr">
        <is>
          <t>IA · Keploy (Alejandro)</t>
        </is>
      </c>
      <c r="K336" s="5" t="inlineStr">
        <is>
          <t>03-keploy/evidence/test-set-0-saneado/tests/post-api-v1-pockets-5.yaml</t>
        </is>
      </c>
      <c r="L336" s="5" t="inlineStr">
        <is>
          <t>Respuesta igual a la grabada (ruido: token, id, Etag)</t>
        </is>
      </c>
      <c r="M336" s="5" t="inlineStr">
        <is>
          <t>Reproducido igual a lo grabado</t>
        </is>
      </c>
      <c r="N336" s="7" t="inlineStr">
        <is>
          <t>Aprobado</t>
        </is>
      </c>
      <c r="O336" s="5" t="inlineStr">
        <is>
          <t>2026-10-27</t>
        </is>
      </c>
      <c r="P336" s="5" t="inlineStr">
        <is>
          <t>03-keploy/evidence/02-replay-con-ruido-50-de-50.txt</t>
        </is>
      </c>
      <c r="Q336" s="5" t="inlineStr">
        <is>
          <t>-</t>
        </is>
      </c>
    </row>
    <row r="337">
      <c r="A337" s="5" t="inlineStr">
        <is>
          <t>Stiven Alejandro Bustamante</t>
        </is>
      </c>
      <c r="B337" s="5" t="inlineStr">
        <is>
          <t>Bolsillos</t>
        </is>
      </c>
      <c r="C337" s="5" t="inlineStr">
        <is>
          <t>HU-23</t>
        </is>
      </c>
      <c r="D337" s="5" t="inlineStr">
        <is>
          <t>Crear bolsillo</t>
        </is>
      </c>
      <c r="E337" s="5" t="inlineStr">
        <is>
          <t>test-set-0</t>
        </is>
      </c>
      <c r="F337" s="5" t="inlineStr">
        <is>
          <t>KP-post-api-v1-pockets-6</t>
        </is>
      </c>
      <c r="G337" s="5" t="inlineStr">
        <is>
          <t>post-api-v1-pockets-6</t>
        </is>
      </c>
      <c r="H337" s="5" t="inlineStr">
        <is>
          <t>Integración (API, mocks de Supabase)</t>
        </is>
      </c>
      <c r="I337" s="5" t="inlineStr">
        <is>
          <t>Regresión</t>
        </is>
      </c>
      <c r="J337" s="5" t="inlineStr">
        <is>
          <t>IA · Keploy (Alejandro)</t>
        </is>
      </c>
      <c r="K337" s="5" t="inlineStr">
        <is>
          <t>03-keploy/evidence/test-set-0-saneado/tests/post-api-v1-pockets-6.yaml</t>
        </is>
      </c>
      <c r="L337" s="5" t="inlineStr">
        <is>
          <t>Respuesta igual a la grabada (ruido: token, id, Etag)</t>
        </is>
      </c>
      <c r="M337" s="5" t="inlineStr">
        <is>
          <t>Reproducido igual a lo grabado</t>
        </is>
      </c>
      <c r="N337" s="7" t="inlineStr">
        <is>
          <t>Aprobado</t>
        </is>
      </c>
      <c r="O337" s="5" t="inlineStr">
        <is>
          <t>2026-10-27</t>
        </is>
      </c>
      <c r="P337" s="5" t="inlineStr">
        <is>
          <t>03-keploy/evidence/02-replay-con-ruido-50-de-50.txt</t>
        </is>
      </c>
      <c r="Q337" s="5" t="inlineStr">
        <is>
          <t>-</t>
        </is>
      </c>
    </row>
    <row r="338">
      <c r="A338" s="5" t="inlineStr">
        <is>
          <t>Stiven Alejandro Bustamante</t>
        </is>
      </c>
      <c r="B338" s="5" t="inlineStr">
        <is>
          <t>Bolsillos</t>
        </is>
      </c>
      <c r="C338" s="5" t="inlineStr">
        <is>
          <t>HU-23</t>
        </is>
      </c>
      <c r="D338" s="5" t="inlineStr">
        <is>
          <t>Crear bolsillo</t>
        </is>
      </c>
      <c r="E338" s="5" t="inlineStr">
        <is>
          <t>test-set-0</t>
        </is>
      </c>
      <c r="F338" s="5" t="inlineStr">
        <is>
          <t>KP-post-api-v1-pockets-7</t>
        </is>
      </c>
      <c r="G338" s="5" t="inlineStr">
        <is>
          <t>post-api-v1-pockets-7</t>
        </is>
      </c>
      <c r="H338" s="5" t="inlineStr">
        <is>
          <t>Integración (API, mocks de Supabase)</t>
        </is>
      </c>
      <c r="I338" s="5" t="inlineStr">
        <is>
          <t>Regresión</t>
        </is>
      </c>
      <c r="J338" s="5" t="inlineStr">
        <is>
          <t>IA · Keploy (Alejandro)</t>
        </is>
      </c>
      <c r="K338" s="5" t="inlineStr">
        <is>
          <t>03-keploy/evidence/test-set-0-saneado/tests/post-api-v1-pockets-7.yaml</t>
        </is>
      </c>
      <c r="L338" s="5" t="inlineStr">
        <is>
          <t>Respuesta igual a la grabada (ruido: token, id, Etag)</t>
        </is>
      </c>
      <c r="M338" s="5" t="inlineStr">
        <is>
          <t>Reproducido igual a lo grabado</t>
        </is>
      </c>
      <c r="N338" s="7" t="inlineStr">
        <is>
          <t>Aprobado</t>
        </is>
      </c>
      <c r="O338" s="5" t="inlineStr">
        <is>
          <t>2026-10-27</t>
        </is>
      </c>
      <c r="P338" s="5" t="inlineStr">
        <is>
          <t>03-keploy/evidence/02-replay-con-ruido-50-de-50.txt</t>
        </is>
      </c>
      <c r="Q338" s="5" t="inlineStr">
        <is>
          <t>-</t>
        </is>
      </c>
    </row>
    <row r="339">
      <c r="A339" s="5" t="inlineStr">
        <is>
          <t>Stiven Alejandro Bustamante</t>
        </is>
      </c>
      <c r="B339" s="5" t="inlineStr">
        <is>
          <t>Bolsillos</t>
        </is>
      </c>
      <c r="C339" s="5" t="inlineStr">
        <is>
          <t>HU-23</t>
        </is>
      </c>
      <c r="D339" s="5" t="inlineStr">
        <is>
          <t>Crear bolsillo</t>
        </is>
      </c>
      <c r="E339" s="5" t="inlineStr">
        <is>
          <t>test-set-0</t>
        </is>
      </c>
      <c r="F339" s="5" t="inlineStr">
        <is>
          <t>KP-post-api-v1-pockets-8</t>
        </is>
      </c>
      <c r="G339" s="5" t="inlineStr">
        <is>
          <t>post-api-v1-pockets-8</t>
        </is>
      </c>
      <c r="H339" s="5" t="inlineStr">
        <is>
          <t>Integración (API, mocks de Supabase)</t>
        </is>
      </c>
      <c r="I339" s="5" t="inlineStr">
        <is>
          <t>Regresión</t>
        </is>
      </c>
      <c r="J339" s="5" t="inlineStr">
        <is>
          <t>IA · Keploy (Alejandro)</t>
        </is>
      </c>
      <c r="K339" s="5" t="inlineStr">
        <is>
          <t>03-keploy/evidence/test-set-0-saneado/tests/post-api-v1-pockets-8.yaml</t>
        </is>
      </c>
      <c r="L339" s="5" t="inlineStr">
        <is>
          <t>Respuesta igual a la grabada (ruido: token, id, Etag)</t>
        </is>
      </c>
      <c r="M339" s="5" t="inlineStr">
        <is>
          <t>Reproducido igual a lo grabado</t>
        </is>
      </c>
      <c r="N339" s="7" t="inlineStr">
        <is>
          <t>Aprobado</t>
        </is>
      </c>
      <c r="O339" s="5" t="inlineStr">
        <is>
          <t>2026-10-27</t>
        </is>
      </c>
      <c r="P339" s="5" t="inlineStr">
        <is>
          <t>03-keploy/evidence/02-replay-con-ruido-50-de-50.txt</t>
        </is>
      </c>
      <c r="Q339" s="5" t="inlineStr">
        <is>
          <t>-</t>
        </is>
      </c>
    </row>
    <row r="340">
      <c r="A340" s="5" t="inlineStr">
        <is>
          <t>Stiven Alejandro Bustamante</t>
        </is>
      </c>
      <c r="B340" s="5" t="inlineStr">
        <is>
          <t>Bolsillos</t>
        </is>
      </c>
      <c r="C340" s="5" t="inlineStr">
        <is>
          <t>HU-23</t>
        </is>
      </c>
      <c r="D340" s="5" t="inlineStr">
        <is>
          <t>Crear bolsillo</t>
        </is>
      </c>
      <c r="E340" s="5" t="inlineStr">
        <is>
          <t>crear-bolsillo.spec.ts</t>
        </is>
      </c>
      <c r="F340" s="5" t="inlineStr">
        <is>
          <t>PW-CRE-01</t>
        </is>
      </c>
      <c r="G340" s="5" t="inlineStr">
        <is>
          <t>CRE-01 · Crear un bolsillo con nombre y monto válidos descuenta el saldo de la cuenta</t>
        </is>
      </c>
      <c r="H340" s="5" t="inlineStr">
        <is>
          <t>Sistema (E2E)</t>
        </is>
      </c>
      <c r="I340" s="5" t="inlineStr">
        <is>
          <t>Funcional</t>
        </is>
      </c>
      <c r="J340" s="5" t="inlineStr">
        <is>
          <t>IA · Playwright Test Agents (Alejandro)</t>
        </is>
      </c>
      <c r="K340" s="5" t="inlineStr">
        <is>
          <t>herramientas-alejandro/01-playwright-test-agents/tests/crear-bolsillo.spec.ts</t>
        </is>
      </c>
      <c r="L340" s="5" t="inlineStr">
        <is>
          <t>Según specs/bolsillos-depositar.md</t>
        </is>
      </c>
      <c r="M340" s="5" t="inlineStr">
        <is>
          <t>Pasó</t>
        </is>
      </c>
      <c r="N340" s="7" t="inlineStr">
        <is>
          <t>Aprobado</t>
        </is>
      </c>
      <c r="O340" s="5" t="inlineStr">
        <is>
          <t>2026-10-27</t>
        </is>
      </c>
      <c r="P340" s="5" t="inlineStr">
        <is>
          <t>herramientas-alejandro/01-playwright-test-agents/evidence/html-report</t>
        </is>
      </c>
      <c r="Q340" s="5" t="inlineStr">
        <is>
          <t>-</t>
        </is>
      </c>
    </row>
    <row r="341">
      <c r="A341" s="5" t="inlineStr">
        <is>
          <t>Stiven Alejandro Bustamante</t>
        </is>
      </c>
      <c r="B341" s="5" t="inlineStr">
        <is>
          <t>Bolsillos</t>
        </is>
      </c>
      <c r="C341" s="5" t="inlineStr">
        <is>
          <t>HU-23</t>
        </is>
      </c>
      <c r="D341" s="5" t="inlineStr">
        <is>
          <t>Crear bolsillo</t>
        </is>
      </c>
      <c r="E341" s="5" t="inlineStr">
        <is>
          <t>crear-bolsillo.spec.ts</t>
        </is>
      </c>
      <c r="F341" s="5" t="inlineStr">
        <is>
          <t>PW-CRE-02</t>
        </is>
      </c>
      <c r="G341" s="5" t="inlineStr">
        <is>
          <t>CRE-02 · Crear bolsillo sin nombre o con monto superior al saldo es rechazado y no cambia el saldo</t>
        </is>
      </c>
      <c r="H341" s="5" t="inlineStr">
        <is>
          <t>Sistema (E2E)</t>
        </is>
      </c>
      <c r="I341" s="5" t="inlineStr">
        <is>
          <t>Funcional</t>
        </is>
      </c>
      <c r="J341" s="5" t="inlineStr">
        <is>
          <t>IA · Playwright Test Agents (Alejandro)</t>
        </is>
      </c>
      <c r="K341" s="5" t="inlineStr">
        <is>
          <t>herramientas-alejandro/01-playwright-test-agents/tests/crear-bolsillo.spec.ts</t>
        </is>
      </c>
      <c r="L341" s="5" t="inlineStr">
        <is>
          <t>Según specs/bolsillos-depositar.md</t>
        </is>
      </c>
      <c r="M341" s="5" t="inlineStr">
        <is>
          <t>Pasó</t>
        </is>
      </c>
      <c r="N341" s="7" t="inlineStr">
        <is>
          <t>Aprobado</t>
        </is>
      </c>
      <c r="O341" s="5" t="inlineStr">
        <is>
          <t>2026-10-27</t>
        </is>
      </c>
      <c r="P341" s="5" t="inlineStr">
        <is>
          <t>herramientas-alejandro/01-playwright-test-agents/evidence/html-report</t>
        </is>
      </c>
      <c r="Q341" s="5" t="inlineStr">
        <is>
          <t>-</t>
        </is>
      </c>
    </row>
    <row r="342">
      <c r="A342" s="5" t="inlineStr">
        <is>
          <t>Stiven Alejandro Bustamante</t>
        </is>
      </c>
      <c r="B342" s="5" t="inlineStr">
        <is>
          <t>Bolsillos</t>
        </is>
      </c>
      <c r="C342" s="5" t="inlineStr">
        <is>
          <t>HU-23</t>
        </is>
      </c>
      <c r="D342" s="5" t="inlineStr">
        <is>
          <t>Crear bolsillo</t>
        </is>
      </c>
      <c r="E342" s="5" t="inlineStr">
        <is>
          <t>01 Crear bolsillo</t>
        </is>
      </c>
      <c r="F342" s="5" t="inlineStr">
        <is>
          <t>PM-CB-01</t>
        </is>
      </c>
      <c r="G342" s="5" t="inlineStr">
        <is>
          <t>Crear "Vacaciones" con 100.000</t>
        </is>
      </c>
      <c r="H342" s="5" t="inlineStr">
        <is>
          <t>Integración (API)</t>
        </is>
      </c>
      <c r="I342" s="5" t="inlineStr">
        <is>
          <t>Funcional</t>
        </is>
      </c>
      <c r="J342" s="5" t="inlineStr">
        <is>
          <t>IA · Postman + Newman (Alejandro)</t>
        </is>
      </c>
      <c r="K342" s="5" t="inlineStr">
        <is>
          <t>herramientas-alejandro/02-postman-postbot</t>
        </is>
      </c>
      <c r="L342" s="5" t="inlineStr">
        <is>
          <t>Ver descripción del request</t>
        </is>
      </c>
      <c r="M342" s="5" t="inlineStr">
        <is>
          <t>6/6 aserciones</t>
        </is>
      </c>
      <c r="N342" s="7" t="inlineStr">
        <is>
          <t>Aprobado</t>
        </is>
      </c>
      <c r="O342" s="5" t="inlineStr">
        <is>
          <t>2026-10-27</t>
        </is>
      </c>
      <c r="P342" s="5" t="inlineStr">
        <is>
          <t>02-postman-postbot/evidence/newman-report.html</t>
        </is>
      </c>
      <c r="Q342" s="5" t="inlineStr">
        <is>
          <t>-</t>
        </is>
      </c>
    </row>
    <row r="343">
      <c r="A343" s="5" t="inlineStr">
        <is>
          <t>Stiven Alejandro Bustamante</t>
        </is>
      </c>
      <c r="B343" s="5" t="inlineStr">
        <is>
          <t>Bolsillos</t>
        </is>
      </c>
      <c r="C343" s="5" t="inlineStr">
        <is>
          <t>HU-23</t>
        </is>
      </c>
      <c r="D343" s="5" t="inlineStr">
        <is>
          <t>Crear bolsillo</t>
        </is>
      </c>
      <c r="E343" s="5" t="inlineStr">
        <is>
          <t>01 Crear bolsillo</t>
        </is>
      </c>
      <c r="F343" s="5" t="inlineStr">
        <is>
          <t>PM-CB-02</t>
        </is>
      </c>
      <c r="G343" s="5" t="inlineStr">
        <is>
          <t>Crear "Mercado" con 50.000</t>
        </is>
      </c>
      <c r="H343" s="5" t="inlineStr">
        <is>
          <t>Integración (API)</t>
        </is>
      </c>
      <c r="I343" s="5" t="inlineStr">
        <is>
          <t>Funcional</t>
        </is>
      </c>
      <c r="J343" s="5" t="inlineStr">
        <is>
          <t>IA · Postman + Newman (Alejandro)</t>
        </is>
      </c>
      <c r="K343" s="5" t="inlineStr">
        <is>
          <t>herramientas-alejandro/02-postman-postbot</t>
        </is>
      </c>
      <c r="L343" s="5" t="inlineStr">
        <is>
          <t>Ver descripción del request</t>
        </is>
      </c>
      <c r="M343" s="5" t="inlineStr">
        <is>
          <t>4/4 aserciones</t>
        </is>
      </c>
      <c r="N343" s="7" t="inlineStr">
        <is>
          <t>Aprobado</t>
        </is>
      </c>
      <c r="O343" s="5" t="inlineStr">
        <is>
          <t>2026-10-27</t>
        </is>
      </c>
      <c r="P343" s="5" t="inlineStr">
        <is>
          <t>02-postman-postbot/evidence/newman-report.html</t>
        </is>
      </c>
      <c r="Q343" s="5" t="inlineStr">
        <is>
          <t>-</t>
        </is>
      </c>
    </row>
    <row r="344">
      <c r="A344" s="5" t="inlineStr">
        <is>
          <t>Stiven Alejandro Bustamante</t>
        </is>
      </c>
      <c r="B344" s="5" t="inlineStr">
        <is>
          <t>Bolsillos</t>
        </is>
      </c>
      <c r="C344" s="5" t="inlineStr">
        <is>
          <t>HU-23</t>
        </is>
      </c>
      <c r="D344" s="5" t="inlineStr">
        <is>
          <t>Crear bolsillo</t>
        </is>
      </c>
      <c r="E344" s="5" t="inlineStr">
        <is>
          <t>01 Crear bolsillo</t>
        </is>
      </c>
      <c r="F344" s="5" t="inlineStr">
        <is>
          <t>PM-CB-03</t>
        </is>
      </c>
      <c r="G344" s="5" t="inlineStr">
        <is>
          <t>Rechazar nombre vacío</t>
        </is>
      </c>
      <c r="H344" s="5" t="inlineStr">
        <is>
          <t>Integración (API)</t>
        </is>
      </c>
      <c r="I344" s="5" t="inlineStr">
        <is>
          <t>Funcional</t>
        </is>
      </c>
      <c r="J344" s="5" t="inlineStr">
        <is>
          <t>IA · Postman + Newman (Alejandro)</t>
        </is>
      </c>
      <c r="K344" s="5" t="inlineStr">
        <is>
          <t>herramientas-alejandro/02-postman-postbot</t>
        </is>
      </c>
      <c r="L344" s="5" t="inlineStr">
        <is>
          <t>Ver descripción del request</t>
        </is>
      </c>
      <c r="M344" s="5" t="inlineStr">
        <is>
          <t>5/5 aserciones</t>
        </is>
      </c>
      <c r="N344" s="7" t="inlineStr">
        <is>
          <t>Aprobado</t>
        </is>
      </c>
      <c r="O344" s="5" t="inlineStr">
        <is>
          <t>2026-10-27</t>
        </is>
      </c>
      <c r="P344" s="5" t="inlineStr">
        <is>
          <t>02-postman-postbot/evidence/newman-report.html</t>
        </is>
      </c>
      <c r="Q344" s="5" t="inlineStr">
        <is>
          <t>-</t>
        </is>
      </c>
    </row>
    <row r="345">
      <c r="A345" s="5" t="inlineStr">
        <is>
          <t>Stiven Alejandro Bustamante</t>
        </is>
      </c>
      <c r="B345" s="5" t="inlineStr">
        <is>
          <t>Bolsillos</t>
        </is>
      </c>
      <c r="C345" s="5" t="inlineStr">
        <is>
          <t>HU-23</t>
        </is>
      </c>
      <c r="D345" s="5" t="inlineStr">
        <is>
          <t>Crear bolsillo</t>
        </is>
      </c>
      <c r="E345" s="5" t="inlineStr">
        <is>
          <t>01 Crear bolsillo</t>
        </is>
      </c>
      <c r="F345" s="5" t="inlineStr">
        <is>
          <t>PM-CB-04</t>
        </is>
      </c>
      <c r="G345" s="5" t="inlineStr">
        <is>
          <t>Rechazar nombre de solo espacios (DEF-001)</t>
        </is>
      </c>
      <c r="H345" s="5" t="inlineStr">
        <is>
          <t>Integración (API)</t>
        </is>
      </c>
      <c r="I345" s="5" t="inlineStr">
        <is>
          <t>Funcional</t>
        </is>
      </c>
      <c r="J345" s="5" t="inlineStr">
        <is>
          <t>IA · Postman + Newman (Alejandro)</t>
        </is>
      </c>
      <c r="K345" s="5" t="inlineStr">
        <is>
          <t>herramientas-alejandro/02-postman-postbot</t>
        </is>
      </c>
      <c r="L345" s="5" t="inlineStr">
        <is>
          <t>Ver descripción del request</t>
        </is>
      </c>
      <c r="M345" s="5" t="inlineStr">
        <is>
          <t>5/5 aserciones</t>
        </is>
      </c>
      <c r="N345" s="7" t="inlineStr">
        <is>
          <t>Aprobado</t>
        </is>
      </c>
      <c r="O345" s="5" t="inlineStr">
        <is>
          <t>2026-10-27</t>
        </is>
      </c>
      <c r="P345" s="5" t="inlineStr">
        <is>
          <t>02-postman-postbot/evidence/newman-report.html</t>
        </is>
      </c>
      <c r="Q345" s="5" t="inlineStr">
        <is>
          <t>-</t>
        </is>
      </c>
    </row>
    <row r="346">
      <c r="A346" s="5" t="inlineStr">
        <is>
          <t>Stiven Alejandro Bustamante</t>
        </is>
      </c>
      <c r="B346" s="5" t="inlineStr">
        <is>
          <t>Bolsillos</t>
        </is>
      </c>
      <c r="C346" s="5" t="inlineStr">
        <is>
          <t>HU-23</t>
        </is>
      </c>
      <c r="D346" s="5" t="inlineStr">
        <is>
          <t>Crear bolsillo</t>
        </is>
      </c>
      <c r="E346" s="5" t="inlineStr">
        <is>
          <t>01 Crear bolsillo</t>
        </is>
      </c>
      <c r="F346" s="5" t="inlineStr">
        <is>
          <t>PM-CB-05</t>
        </is>
      </c>
      <c r="G346" s="5" t="inlineStr">
        <is>
          <t>Rechazar monto negativo</t>
        </is>
      </c>
      <c r="H346" s="5" t="inlineStr">
        <is>
          <t>Integración (API)</t>
        </is>
      </c>
      <c r="I346" s="5" t="inlineStr">
        <is>
          <t>Funcional</t>
        </is>
      </c>
      <c r="J346" s="5" t="inlineStr">
        <is>
          <t>IA · Postman + Newman (Alejandro)</t>
        </is>
      </c>
      <c r="K346" s="5" t="inlineStr">
        <is>
          <t>herramientas-alejandro/02-postman-postbot</t>
        </is>
      </c>
      <c r="L346" s="5" t="inlineStr">
        <is>
          <t>Ver descripción del request</t>
        </is>
      </c>
      <c r="M346" s="5" t="inlineStr">
        <is>
          <t>4/4 aserciones</t>
        </is>
      </c>
      <c r="N346" s="7" t="inlineStr">
        <is>
          <t>Aprobado</t>
        </is>
      </c>
      <c r="O346" s="5" t="inlineStr">
        <is>
          <t>2026-10-27</t>
        </is>
      </c>
      <c r="P346" s="5" t="inlineStr">
        <is>
          <t>02-postman-postbot/evidence/newman-report.html</t>
        </is>
      </c>
      <c r="Q346" s="5" t="inlineStr">
        <is>
          <t>-</t>
        </is>
      </c>
    </row>
    <row r="347">
      <c r="A347" s="5" t="inlineStr">
        <is>
          <t>Stiven Alejandro Bustamante</t>
        </is>
      </c>
      <c r="B347" s="5" t="inlineStr">
        <is>
          <t>Bolsillos</t>
        </is>
      </c>
      <c r="C347" s="5" t="inlineStr">
        <is>
          <t>HU-23</t>
        </is>
      </c>
      <c r="D347" s="5" t="inlineStr">
        <is>
          <t>Crear bolsillo</t>
        </is>
      </c>
      <c r="E347" s="5" t="inlineStr">
        <is>
          <t>01 Crear bolsillo</t>
        </is>
      </c>
      <c r="F347" s="5" t="inlineStr">
        <is>
          <t>PM-CB-06</t>
        </is>
      </c>
      <c r="G347" s="5" t="inlineStr">
        <is>
          <t>Rechazar monto mayor al saldo</t>
        </is>
      </c>
      <c r="H347" s="5" t="inlineStr">
        <is>
          <t>Integración (API)</t>
        </is>
      </c>
      <c r="I347" s="5" t="inlineStr">
        <is>
          <t>Funcional</t>
        </is>
      </c>
      <c r="J347" s="5" t="inlineStr">
        <is>
          <t>IA · Postman + Newman (Alejandro)</t>
        </is>
      </c>
      <c r="K347" s="5" t="inlineStr">
        <is>
          <t>herramientas-alejandro/02-postman-postbot</t>
        </is>
      </c>
      <c r="L347" s="5" t="inlineStr">
        <is>
          <t>Ver descripción del request</t>
        </is>
      </c>
      <c r="M347" s="5" t="inlineStr">
        <is>
          <t>5/5 aserciones</t>
        </is>
      </c>
      <c r="N347" s="7" t="inlineStr">
        <is>
          <t>Aprobado</t>
        </is>
      </c>
      <c r="O347" s="5" t="inlineStr">
        <is>
          <t>2026-10-27</t>
        </is>
      </c>
      <c r="P347" s="5" t="inlineStr">
        <is>
          <t>02-postman-postbot/evidence/newman-report.html</t>
        </is>
      </c>
      <c r="Q347" s="5" t="inlineStr">
        <is>
          <t>-</t>
        </is>
      </c>
    </row>
    <row r="348">
      <c r="A348" s="5" t="inlineStr">
        <is>
          <t>Stiven Alejandro Bustamante</t>
        </is>
      </c>
      <c r="B348" s="5" t="inlineStr">
        <is>
          <t>Bolsillos</t>
        </is>
      </c>
      <c r="C348" s="5" t="inlineStr">
        <is>
          <t>HU-23</t>
        </is>
      </c>
      <c r="D348" s="5" t="inlineStr">
        <is>
          <t>Crear bolsillo</t>
        </is>
      </c>
      <c r="E348" s="5" t="inlineStr">
        <is>
          <t>01 Crear bolsillo</t>
        </is>
      </c>
      <c r="F348" s="5" t="inlineStr">
        <is>
          <t>PM-CB-07</t>
        </is>
      </c>
      <c r="G348" s="5" t="inlineStr">
        <is>
          <t>Rechazar petición sin token</t>
        </is>
      </c>
      <c r="H348" s="5" t="inlineStr">
        <is>
          <t>Integración (API)</t>
        </is>
      </c>
      <c r="I348" s="5" t="inlineStr">
        <is>
          <t>Funcional</t>
        </is>
      </c>
      <c r="J348" s="5" t="inlineStr">
        <is>
          <t>IA · Postman + Newman (Alejandro)</t>
        </is>
      </c>
      <c r="K348" s="5" t="inlineStr">
        <is>
          <t>herramientas-alejandro/02-postman-postbot</t>
        </is>
      </c>
      <c r="L348" s="5" t="inlineStr">
        <is>
          <t>Ver descripción del request</t>
        </is>
      </c>
      <c r="M348" s="5" t="inlineStr">
        <is>
          <t>4/4 aserciones</t>
        </is>
      </c>
      <c r="N348" s="7" t="inlineStr">
        <is>
          <t>Aprobado</t>
        </is>
      </c>
      <c r="O348" s="5" t="inlineStr">
        <is>
          <t>2026-10-27</t>
        </is>
      </c>
      <c r="P348" s="5" t="inlineStr">
        <is>
          <t>02-postman-postbot/evidence/newman-report.html</t>
        </is>
      </c>
      <c r="Q348" s="5" t="inlineStr">
        <is>
          <t>-</t>
        </is>
      </c>
    </row>
    <row r="349">
      <c r="A349" s="5" t="inlineStr">
        <is>
          <t>Stiven Alejandro Bustamante</t>
        </is>
      </c>
      <c r="B349" s="5" t="inlineStr">
        <is>
          <t>Bolsillos</t>
        </is>
      </c>
      <c r="C349" s="5" t="inlineStr">
        <is>
          <t>HU-23</t>
        </is>
      </c>
      <c r="D349" s="5" t="inlineStr">
        <is>
          <t>Crear bolsillo</t>
        </is>
      </c>
      <c r="E349" s="5" t="inlineStr">
        <is>
          <t>Katalon Recorder</t>
        </is>
      </c>
      <c r="F349" s="5" t="inlineStr">
        <is>
          <t>Suite_01_Crear_bolsillo</t>
        </is>
      </c>
      <c r="G349" s="5" t="inlineStr">
        <is>
          <t>Suite_01_Crear_bolsillo (casos TC-1xx)</t>
        </is>
      </c>
      <c r="H349" s="5" t="inlineStr">
        <is>
          <t>Sistema (E2E)</t>
        </is>
      </c>
      <c r="I349" s="5" t="inlineStr">
        <is>
          <t>Funcional</t>
        </is>
      </c>
      <c r="J349" s="5" t="inlineStr">
        <is>
          <t>Katalon Recorder</t>
        </is>
      </c>
      <c r="K349" s="5" t="inlineStr">
        <is>
          <t>katalon/suites/Suite_01_Crear_bolsillo.html</t>
        </is>
      </c>
      <c r="L349" s="5" t="inlineStr">
        <is>
          <t>Todos los casos de la suite pasan</t>
        </is>
      </c>
      <c r="M349" s="5" t="inlineStr">
        <is>
          <t>Parte de la corrida 52/52 en KR7</t>
        </is>
      </c>
      <c r="N349" s="7" t="inlineStr">
        <is>
          <t>Aprobado</t>
        </is>
      </c>
      <c r="O349" s="5" t="inlineStr">
        <is>
          <t>2026-10-10</t>
        </is>
      </c>
      <c r="P349" s="5" t="inlineStr">
        <is>
          <t>katalon/evidencias/</t>
        </is>
      </c>
      <c r="Q349" s="5" t="inlineStr">
        <is>
          <t>-</t>
        </is>
      </c>
    </row>
    <row r="350">
      <c r="A350" s="5" t="inlineStr">
        <is>
          <t>Stiven Alejandro Bustamante</t>
        </is>
      </c>
      <c r="B350" s="5" t="inlineStr">
        <is>
          <t>Bolsillos</t>
        </is>
      </c>
      <c r="C350" s="5" t="inlineStr">
        <is>
          <t>HU-23</t>
        </is>
      </c>
      <c r="D350" s="5" t="inlineStr">
        <is>
          <t>Crear bolsillo</t>
        </is>
      </c>
      <c r="E350" s="5" t="inlineStr">
        <is>
          <t>crear_bolsillo.feature</t>
        </is>
      </c>
      <c r="F350" s="5" t="inlineStr">
        <is>
          <t>SJ-CREA-01</t>
        </is>
      </c>
      <c r="G350" s="5" t="inlineStr">
        <is>
          <t>Crear un bolsillo descuenta el monto del saldo de la cuenta</t>
        </is>
      </c>
      <c r="H350" s="5" t="inlineStr">
        <is>
          <t>Integración (API)</t>
        </is>
      </c>
      <c r="I350" s="5" t="inlineStr">
        <is>
          <t>Funcional</t>
        </is>
      </c>
      <c r="J350" s="5" t="inlineStr">
        <is>
          <t>Serenity/JS Screenplay + Gherkin</t>
        </is>
      </c>
      <c r="K350" s="5" t="inlineStr">
        <is>
          <t>features/bolsillos/crear_bolsillo.feature</t>
        </is>
      </c>
      <c r="L350" s="5" t="inlineStr">
        <is>
          <t>la respuesta HTTP tiene estado 201; el saldo de su cuenta es 400000</t>
        </is>
      </c>
      <c r="M350" s="5" t="inlineStr">
        <is>
          <t>Todos los pasos pasaron</t>
        </is>
      </c>
      <c r="N350" s="7" t="inlineStr">
        <is>
          <t>Aprobado</t>
        </is>
      </c>
      <c r="O350" s="5" t="inlineStr">
        <is>
          <t>2026-10-27</t>
        </is>
      </c>
      <c r="P350" s="5" t="inlineStr">
        <is>
          <t>docs/evidencia-final-equipo/serenity-equipo-corrida.txt</t>
        </is>
      </c>
      <c r="Q350" s="5" t="inlineStr">
        <is>
          <t>-</t>
        </is>
      </c>
    </row>
    <row r="351">
      <c r="A351" s="5" t="inlineStr">
        <is>
          <t>Stiven Alejandro Bustamante</t>
        </is>
      </c>
      <c r="B351" s="5" t="inlineStr">
        <is>
          <t>Bolsillos</t>
        </is>
      </c>
      <c r="C351" s="5" t="inlineStr">
        <is>
          <t>HU-23</t>
        </is>
      </c>
      <c r="D351" s="5" t="inlineStr">
        <is>
          <t>Crear bolsillo</t>
        </is>
      </c>
      <c r="E351" s="5" t="inlineStr">
        <is>
          <t>crear_bolsillo.feature</t>
        </is>
      </c>
      <c r="F351" s="5" t="inlineStr">
        <is>
          <t>SJ-CREA-02</t>
        </is>
      </c>
      <c r="G351" s="5" t="inlineStr">
        <is>
          <t>Se puede apartar todo el saldo disponible</t>
        </is>
      </c>
      <c r="H351" s="5" t="inlineStr">
        <is>
          <t>Integración (API)</t>
        </is>
      </c>
      <c r="I351" s="5" t="inlineStr">
        <is>
          <t>Funcional</t>
        </is>
      </c>
      <c r="J351" s="5" t="inlineStr">
        <is>
          <t>Serenity/JS Screenplay + Gherkin</t>
        </is>
      </c>
      <c r="K351" s="5" t="inlineStr">
        <is>
          <t>features/bolsillos/crear_bolsillo.feature</t>
        </is>
      </c>
      <c r="L351" s="5" t="inlineStr">
        <is>
          <t>la respuesta HTTP tiene estado 201; el saldo de su cuenta es 0</t>
        </is>
      </c>
      <c r="M351" s="5" t="inlineStr">
        <is>
          <t>Todos los pasos pasaron</t>
        </is>
      </c>
      <c r="N351" s="7" t="inlineStr">
        <is>
          <t>Aprobado</t>
        </is>
      </c>
      <c r="O351" s="5" t="inlineStr">
        <is>
          <t>2026-10-27</t>
        </is>
      </c>
      <c r="P351" s="5" t="inlineStr">
        <is>
          <t>docs/evidencia-final-equipo/serenity-equipo-corrida.txt</t>
        </is>
      </c>
      <c r="Q351" s="5" t="inlineStr">
        <is>
          <t>-</t>
        </is>
      </c>
    </row>
    <row r="352">
      <c r="A352" s="5" t="inlineStr">
        <is>
          <t>Stiven Alejandro Bustamante</t>
        </is>
      </c>
      <c r="B352" s="5" t="inlineStr">
        <is>
          <t>Bolsillos</t>
        </is>
      </c>
      <c r="C352" s="5" t="inlineStr">
        <is>
          <t>HU-23</t>
        </is>
      </c>
      <c r="D352" s="5" t="inlineStr">
        <is>
          <t>Crear bolsillo</t>
        </is>
      </c>
      <c r="E352" s="5" t="inlineStr">
        <is>
          <t>crear_bolsillo.feature</t>
        </is>
      </c>
      <c r="F352" s="5" t="inlineStr">
        <is>
          <t>SJ-CREA-03</t>
        </is>
      </c>
      <c r="G352" s="5" t="inlineStr">
        <is>
          <t>Rechazar un bolsillo con nombre vacío</t>
        </is>
      </c>
      <c r="H352" s="5" t="inlineStr">
        <is>
          <t>Integración (API)</t>
        </is>
      </c>
      <c r="I352" s="5" t="inlineStr">
        <is>
          <t>Funcional</t>
        </is>
      </c>
      <c r="J352" s="5" t="inlineStr">
        <is>
          <t>Serenity/JS Screenplay + Gherkin</t>
        </is>
      </c>
      <c r="K352" s="5" t="inlineStr">
        <is>
          <t>features/bolsillos/crear_bolsillo.feature</t>
        </is>
      </c>
      <c r="L352" s="5" t="inlineStr">
        <is>
          <t>la respuesta HTTP tiene estado 400; el código de error es "VALIDATION_ERROR"; el saldo de su cuenta es 500000</t>
        </is>
      </c>
      <c r="M352" s="5" t="inlineStr">
        <is>
          <t>Todos los pasos pasaron</t>
        </is>
      </c>
      <c r="N352" s="7" t="inlineStr">
        <is>
          <t>Aprobado</t>
        </is>
      </c>
      <c r="O352" s="5" t="inlineStr">
        <is>
          <t>2026-10-27</t>
        </is>
      </c>
      <c r="P352" s="5" t="inlineStr">
        <is>
          <t>docs/evidencia-final-equipo/serenity-equipo-corrida.txt</t>
        </is>
      </c>
      <c r="Q352" s="5" t="inlineStr">
        <is>
          <t>-</t>
        </is>
      </c>
    </row>
    <row r="353">
      <c r="A353" s="5" t="inlineStr">
        <is>
          <t>Stiven Alejandro Bustamante</t>
        </is>
      </c>
      <c r="B353" s="5" t="inlineStr">
        <is>
          <t>Bolsillos</t>
        </is>
      </c>
      <c r="C353" s="5" t="inlineStr">
        <is>
          <t>HU-23</t>
        </is>
      </c>
      <c r="D353" s="5" t="inlineStr">
        <is>
          <t>Crear bolsillo</t>
        </is>
      </c>
      <c r="E353" s="5" t="inlineStr">
        <is>
          <t>crear_bolsillo.feature</t>
        </is>
      </c>
      <c r="F353" s="5" t="inlineStr">
        <is>
          <t>SJ-CREA-04</t>
        </is>
      </c>
      <c r="G353" s="5" t="inlineStr">
        <is>
          <t>Rechazar un bolsillo con monto negativo</t>
        </is>
      </c>
      <c r="H353" s="5" t="inlineStr">
        <is>
          <t>Integración (API)</t>
        </is>
      </c>
      <c r="I353" s="5" t="inlineStr">
        <is>
          <t>Funcional</t>
        </is>
      </c>
      <c r="J353" s="5" t="inlineStr">
        <is>
          <t>Serenity/JS Screenplay + Gherkin</t>
        </is>
      </c>
      <c r="K353" s="5" t="inlineStr">
        <is>
          <t>features/bolsillos/crear_bolsillo.feature</t>
        </is>
      </c>
      <c r="L353" s="5" t="inlineStr">
        <is>
          <t>la respuesta HTTP tiene estado 400; el código de error es "VALIDATION_ERROR"; el saldo de su cuenta es 500000</t>
        </is>
      </c>
      <c r="M353" s="5" t="inlineStr">
        <is>
          <t>Todos los pasos pasaron</t>
        </is>
      </c>
      <c r="N353" s="7" t="inlineStr">
        <is>
          <t>Aprobado</t>
        </is>
      </c>
      <c r="O353" s="5" t="inlineStr">
        <is>
          <t>2026-10-27</t>
        </is>
      </c>
      <c r="P353" s="5" t="inlineStr">
        <is>
          <t>docs/evidencia-final-equipo/serenity-equipo-corrida.txt</t>
        </is>
      </c>
      <c r="Q353" s="5" t="inlineStr">
        <is>
          <t>-</t>
        </is>
      </c>
    </row>
    <row r="354">
      <c r="A354" s="5" t="inlineStr">
        <is>
          <t>Stiven Alejandro Bustamante</t>
        </is>
      </c>
      <c r="B354" s="5" t="inlineStr">
        <is>
          <t>Bolsillos</t>
        </is>
      </c>
      <c r="C354" s="5" t="inlineStr">
        <is>
          <t>HU-23</t>
        </is>
      </c>
      <c r="D354" s="5" t="inlineStr">
        <is>
          <t>Crear bolsillo</t>
        </is>
      </c>
      <c r="E354" s="5" t="inlineStr">
        <is>
          <t>crear_bolsillo.feature</t>
        </is>
      </c>
      <c r="F354" s="5" t="inlineStr">
        <is>
          <t>SJ-CREA-05</t>
        </is>
      </c>
      <c r="G354" s="5" t="inlineStr">
        <is>
          <t>Rechazar un bolsillo con monto mayor al saldo</t>
        </is>
      </c>
      <c r="H354" s="5" t="inlineStr">
        <is>
          <t>Integración (API)</t>
        </is>
      </c>
      <c r="I354" s="5" t="inlineStr">
        <is>
          <t>Funcional</t>
        </is>
      </c>
      <c r="J354" s="5" t="inlineStr">
        <is>
          <t>Serenity/JS Screenplay + Gherkin</t>
        </is>
      </c>
      <c r="K354" s="5" t="inlineStr">
        <is>
          <t>features/bolsillos/crear_bolsillo.feature</t>
        </is>
      </c>
      <c r="L354" s="5" t="inlineStr">
        <is>
          <t>la respuesta HTTP tiene estado 400; el código de error es "INSUFFICIENT_AVAILABLE_BALANCE"; el saldo de su cuenta es 500000</t>
        </is>
      </c>
      <c r="M354" s="5" t="inlineStr">
        <is>
          <t>Todos los pasos pasaron</t>
        </is>
      </c>
      <c r="N354" s="7" t="inlineStr">
        <is>
          <t>Aprobado</t>
        </is>
      </c>
      <c r="O354" s="5" t="inlineStr">
        <is>
          <t>2026-10-27</t>
        </is>
      </c>
      <c r="P354" s="5" t="inlineStr">
        <is>
          <t>docs/evidencia-final-equipo/serenity-equipo-corrida.txt</t>
        </is>
      </c>
      <c r="Q354" s="5" t="inlineStr">
        <is>
          <t>-</t>
        </is>
      </c>
    </row>
    <row r="355">
      <c r="A355" s="5" t="inlineStr">
        <is>
          <t>Stiven Alejandro Bustamante</t>
        </is>
      </c>
      <c r="B355" s="5" t="inlineStr">
        <is>
          <t>Bolsillos</t>
        </is>
      </c>
      <c r="C355" s="5" t="inlineStr">
        <is>
          <t>HU-23</t>
        </is>
      </c>
      <c r="D355" s="5" t="inlineStr">
        <is>
          <t>Crear bolsillo</t>
        </is>
      </c>
      <c r="E355" s="5" t="inlineStr">
        <is>
          <t>crear_bolsillo.feature</t>
        </is>
      </c>
      <c r="F355" s="5" t="inlineStr">
        <is>
          <t>SJ-CREA-06</t>
        </is>
      </c>
      <c r="G355" s="5" t="inlineStr">
        <is>
          <t>Crear un bolsillo desde la pantalla de bolsillos</t>
        </is>
      </c>
      <c r="H355" s="5" t="inlineStr">
        <is>
          <t>Sistema (E2E)</t>
        </is>
      </c>
      <c r="I355" s="5" t="inlineStr">
        <is>
          <t>Funcional</t>
        </is>
      </c>
      <c r="J355" s="5" t="inlineStr">
        <is>
          <t>Serenity/JS Screenplay + Gherkin</t>
        </is>
      </c>
      <c r="K355" s="5" t="inlineStr">
        <is>
          <t>features/bolsillos/crear_bolsillo.feature</t>
        </is>
      </c>
      <c r="L355" s="5" t="inlineStr">
        <is>
          <t>ella ve la notificación "Bolsillo creado"; ella ve el bolsillo "Vacaciones" con 100000; el saldo de su cuenta es 400000</t>
        </is>
      </c>
      <c r="M355" s="5" t="inlineStr">
        <is>
          <t>Todos los pasos pasaron</t>
        </is>
      </c>
      <c r="N355" s="7" t="inlineStr">
        <is>
          <t>Aprobado</t>
        </is>
      </c>
      <c r="O355" s="5" t="inlineStr">
        <is>
          <t>2026-10-27</t>
        </is>
      </c>
      <c r="P355" s="5" t="inlineStr">
        <is>
          <t>docs/evidencia-final-equipo/serenity-equipo-corrida.txt</t>
        </is>
      </c>
      <c r="Q355" s="5" t="inlineStr">
        <is>
          <t>-</t>
        </is>
      </c>
    </row>
    <row r="356">
      <c r="A356" s="5" t="inlineStr">
        <is>
          <t>Stiven Alejandro Bustamante</t>
        </is>
      </c>
      <c r="B356" s="5" t="inlineStr">
        <is>
          <t>Bolsillos</t>
        </is>
      </c>
      <c r="C356" s="5" t="inlineStr">
        <is>
          <t>HU-23</t>
        </is>
      </c>
      <c r="D356" s="5" t="inlineStr">
        <is>
          <t>Crear bolsillo</t>
        </is>
      </c>
      <c r="E356" s="5" t="inlineStr">
        <is>
          <t>crear_bolsillo.feature</t>
        </is>
      </c>
      <c r="F356" s="5" t="inlineStr">
        <is>
          <t>SJ-CREA-07</t>
        </is>
      </c>
      <c r="G356" s="5" t="inlineStr">
        <is>
          <t>La pantalla pide el nombre antes de crear el bolsillo</t>
        </is>
      </c>
      <c r="H356" s="5" t="inlineStr">
        <is>
          <t>Sistema (E2E)</t>
        </is>
      </c>
      <c r="I356" s="5" t="inlineStr">
        <is>
          <t>Funcional</t>
        </is>
      </c>
      <c r="J356" s="5" t="inlineStr">
        <is>
          <t>Serenity/JS Screenplay + Gherkin</t>
        </is>
      </c>
      <c r="K356" s="5" t="inlineStr">
        <is>
          <t>features/bolsillos/crear_bolsillo.feature</t>
        </is>
      </c>
      <c r="L356" s="5" t="inlineStr">
        <is>
          <t>ella ve la notificación "Falta información"; el saldo de su cuenta es 500000</t>
        </is>
      </c>
      <c r="M356" s="5" t="inlineStr">
        <is>
          <t>Todos los pasos pasaron</t>
        </is>
      </c>
      <c r="N356" s="7" t="inlineStr">
        <is>
          <t>Aprobado</t>
        </is>
      </c>
      <c r="O356" s="5" t="inlineStr">
        <is>
          <t>2026-10-27</t>
        </is>
      </c>
      <c r="P356" s="5" t="inlineStr">
        <is>
          <t>docs/evidencia-final-equipo/serenity-equipo-corrida.txt</t>
        </is>
      </c>
      <c r="Q356" s="5" t="inlineStr">
        <is>
          <t>-</t>
        </is>
      </c>
    </row>
    <row r="357">
      <c r="A357" s="5" t="inlineStr">
        <is>
          <t>Stiven Alejandro Bustamante</t>
        </is>
      </c>
      <c r="B357" s="5" t="inlineStr">
        <is>
          <t>Bolsillos</t>
        </is>
      </c>
      <c r="C357" s="5" t="inlineStr">
        <is>
          <t>HU-23</t>
        </is>
      </c>
      <c r="D357" s="5" t="inlineStr">
        <is>
          <t>Crear bolsillo</t>
        </is>
      </c>
      <c r="E357" s="5" t="inlineStr">
        <is>
          <t>Stagehand</t>
        </is>
      </c>
      <c r="F357" s="5" t="inlineStr">
        <is>
          <t>SH-B01</t>
        </is>
      </c>
      <c r="G357" s="5" t="inlineStr">
        <is>
          <t>La IA crea un bolsillo desde la pantalla siguiendo instrucciones en lenguaje natural.</t>
        </is>
      </c>
      <c r="H357" s="5" t="inlineStr">
        <is>
          <t>Sistema (E2E con IA)</t>
        </is>
      </c>
      <c r="I357" s="5" t="inlineStr">
        <is>
          <t>Funcional</t>
        </is>
      </c>
      <c r="J357" s="5" t="inlineStr">
        <is>
          <t>Stagehand (google/gemini-3.5-flash)</t>
        </is>
      </c>
      <c r="K357" s="5" t="inlineStr">
        <is>
          <t>e2e/stagehand/src/bolsillos/scenarios.ts</t>
        </is>
      </c>
      <c r="L357" s="5" t="inlineStr">
        <is>
          <t>Toast "Bolsillo creado", tarjeta "Vacaciones" con 100.000 y saldo de la cuenta en 400.000 (de 500.000).</t>
        </is>
      </c>
      <c r="M357" s="5" t="inlineStr">
        <is>
          <t>5/5 validaciones correctas</t>
        </is>
      </c>
      <c r="N357" s="7" t="inlineStr">
        <is>
          <t>Aprobado</t>
        </is>
      </c>
      <c r="O357" s="5" t="inlineStr">
        <is>
          <t>2026-10-27</t>
        </is>
      </c>
      <c r="P357" s="5" t="inlineStr">
        <is>
          <t>e2e/stagehand/evidence/bolsillos/SH-B01-report.json</t>
        </is>
      </c>
      <c r="Q357" s="5" t="inlineStr">
        <is>
          <t>-</t>
        </is>
      </c>
    </row>
    <row r="358">
      <c r="A358" s="5" t="inlineStr">
        <is>
          <t>Stiven Alejandro Bustamante</t>
        </is>
      </c>
      <c r="B358" s="5" t="inlineStr">
        <is>
          <t>Bolsillos</t>
        </is>
      </c>
      <c r="C358" s="5" t="inlineStr">
        <is>
          <t>HU-23</t>
        </is>
      </c>
      <c r="D358" s="5" t="inlineStr">
        <is>
          <t>Crear bolsillo</t>
        </is>
      </c>
      <c r="E358" s="5" t="inlineStr">
        <is>
          <t>Vitest backend · unitaria</t>
        </is>
      </c>
      <c r="F358" s="5" t="inlineStr">
        <is>
          <t>VT-CreatePocket.test</t>
        </is>
      </c>
      <c r="G358" s="5" t="inlineStr">
        <is>
          <t>CreatePocket.test.ts (12 pruebas)</t>
        </is>
      </c>
      <c r="H358" s="5" t="inlineStr">
        <is>
          <t>Unitaria / Integración</t>
        </is>
      </c>
      <c r="I358" s="5" t="inlineStr">
        <is>
          <t>Funcional</t>
        </is>
      </c>
      <c r="J358" s="5" t="inlineStr">
        <is>
          <t>Vitest backend</t>
        </is>
      </c>
      <c r="K358" s="5" t="inlineStr">
        <is>
          <t>backend/src/tests/unit/pocket/CreatePocket.test.ts</t>
        </is>
      </c>
      <c r="L358" s="5" t="inlineStr">
        <is>
          <t>Todas las pruebas del archivo pasan</t>
        </is>
      </c>
      <c r="M358" s="5" t="inlineStr">
        <is>
          <t>12/12 pasan</t>
        </is>
      </c>
      <c r="N358" s="7" t="inlineStr">
        <is>
          <t>Aprobado</t>
        </is>
      </c>
      <c r="O358" s="5" t="inlineStr">
        <is>
          <t>2026-10-27</t>
        </is>
      </c>
      <c r="P358" s="5" t="inlineStr">
        <is>
          <t>docs/evidencia-final-equipo/vitest-backend.json</t>
        </is>
      </c>
      <c r="Q358" s="5" t="inlineStr">
        <is>
          <t>-</t>
        </is>
      </c>
    </row>
    <row r="359">
      <c r="A359" s="5" t="inlineStr">
        <is>
          <t>Stiven Alejandro Bustamante</t>
        </is>
      </c>
      <c r="B359" s="5" t="inlineStr">
        <is>
          <t>Bolsillos</t>
        </is>
      </c>
      <c r="C359" s="5" t="inlineStr">
        <is>
          <t>HU-23</t>
        </is>
      </c>
      <c r="D359" s="5" t="inlineStr">
        <is>
          <t>Crear bolsillo</t>
        </is>
      </c>
      <c r="E359" s="5" t="inlineStr">
        <is>
          <t>Vitest backend · unitaria</t>
        </is>
      </c>
      <c r="F359" s="5" t="inlineStr">
        <is>
          <t>VT-GetAccountPockets.test</t>
        </is>
      </c>
      <c r="G359" s="5" t="inlineStr">
        <is>
          <t>GetAccountPockets.test.ts (4 pruebas)</t>
        </is>
      </c>
      <c r="H359" s="5" t="inlineStr">
        <is>
          <t>Unitaria / Integración</t>
        </is>
      </c>
      <c r="I359" s="5" t="inlineStr">
        <is>
          <t>Funcional</t>
        </is>
      </c>
      <c r="J359" s="5" t="inlineStr">
        <is>
          <t>Vitest backend</t>
        </is>
      </c>
      <c r="K359" s="5" t="inlineStr">
        <is>
          <t>backend/src/tests/unit/pocket/GetAccountPockets.test.ts</t>
        </is>
      </c>
      <c r="L359" s="5" t="inlineStr">
        <is>
          <t>Todas las pruebas del archivo pasan</t>
        </is>
      </c>
      <c r="M359" s="5" t="inlineStr">
        <is>
          <t>4/4 pasan</t>
        </is>
      </c>
      <c r="N359" s="7" t="inlineStr">
        <is>
          <t>Aprobado</t>
        </is>
      </c>
      <c r="O359" s="5" t="inlineStr">
        <is>
          <t>2026-10-27</t>
        </is>
      </c>
      <c r="P359" s="5" t="inlineStr">
        <is>
          <t>docs/evidencia-final-equipo/vitest-backend.json</t>
        </is>
      </c>
      <c r="Q359" s="5" t="inlineStr">
        <is>
          <t>-</t>
        </is>
      </c>
    </row>
    <row r="360">
      <c r="A360" s="5" t="inlineStr">
        <is>
          <t>Stiven Alejandro Bustamante</t>
        </is>
      </c>
      <c r="B360" s="5" t="inlineStr">
        <is>
          <t>Bolsillos</t>
        </is>
      </c>
      <c r="C360" s="5" t="inlineStr">
        <is>
          <t>HU-23</t>
        </is>
      </c>
      <c r="D360" s="5" t="inlineStr">
        <is>
          <t>Crear bolsillo</t>
        </is>
      </c>
      <c r="E360" s="5" t="inlineStr">
        <is>
          <t>Vitest backend · unitaria</t>
        </is>
      </c>
      <c r="F360" s="5" t="inlineStr">
        <is>
          <t>VT-Pocket.entity.test</t>
        </is>
      </c>
      <c r="G360" s="5" t="inlineStr">
        <is>
          <t>Pocket.entity.test.ts (11 pruebas)</t>
        </is>
      </c>
      <c r="H360" s="5" t="inlineStr">
        <is>
          <t>Unitaria / Integración</t>
        </is>
      </c>
      <c r="I360" s="5" t="inlineStr">
        <is>
          <t>Funcional</t>
        </is>
      </c>
      <c r="J360" s="5" t="inlineStr">
        <is>
          <t>Vitest backend</t>
        </is>
      </c>
      <c r="K360" s="5" t="inlineStr">
        <is>
          <t>backend/src/tests/unit/pocket/Pocket.entity.test.ts</t>
        </is>
      </c>
      <c r="L360" s="5" t="inlineStr">
        <is>
          <t>Todas las pruebas del archivo pasan</t>
        </is>
      </c>
      <c r="M360" s="5" t="inlineStr">
        <is>
          <t>11/11 pasan</t>
        </is>
      </c>
      <c r="N360" s="7" t="inlineStr">
        <is>
          <t>Aprobado</t>
        </is>
      </c>
      <c r="O360" s="5" t="inlineStr">
        <is>
          <t>2026-10-27</t>
        </is>
      </c>
      <c r="P360" s="5" t="inlineStr">
        <is>
          <t>docs/evidencia-final-equipo/vitest-backend.json</t>
        </is>
      </c>
      <c r="Q360" s="5" t="inlineStr">
        <is>
          <t>-</t>
        </is>
      </c>
    </row>
    <row r="361">
      <c r="A361" s="5" t="inlineStr">
        <is>
          <t>Stiven Alejandro Bustamante</t>
        </is>
      </c>
      <c r="B361" s="5" t="inlineStr">
        <is>
          <t>Bolsillos</t>
        </is>
      </c>
      <c r="C361" s="5" t="inlineStr">
        <is>
          <t>HU-23</t>
        </is>
      </c>
      <c r="D361" s="5" t="inlineStr">
        <is>
          <t>Crear bolsillo</t>
        </is>
      </c>
      <c r="E361" s="5" t="inlineStr">
        <is>
          <t>Vitest backend · unitaria</t>
        </is>
      </c>
      <c r="F361" s="5" t="inlineStr">
        <is>
          <t>VT-PocketController.test</t>
        </is>
      </c>
      <c r="G361" s="5" t="inlineStr">
        <is>
          <t>PocketController.test.ts (9 pruebas)</t>
        </is>
      </c>
      <c r="H361" s="5" t="inlineStr">
        <is>
          <t>Unitaria / Integración</t>
        </is>
      </c>
      <c r="I361" s="5" t="inlineStr">
        <is>
          <t>Funcional</t>
        </is>
      </c>
      <c r="J361" s="5" t="inlineStr">
        <is>
          <t>Vitest backend</t>
        </is>
      </c>
      <c r="K361" s="5" t="inlineStr">
        <is>
          <t>backend/src/tests/unit/pocket/PocketController.test.ts</t>
        </is>
      </c>
      <c r="L361" s="5" t="inlineStr">
        <is>
          <t>Todas las pruebas del archivo pasan</t>
        </is>
      </c>
      <c r="M361" s="5" t="inlineStr">
        <is>
          <t>9/9 pasan</t>
        </is>
      </c>
      <c r="N361" s="7" t="inlineStr">
        <is>
          <t>Aprobado</t>
        </is>
      </c>
      <c r="O361" s="5" t="inlineStr">
        <is>
          <t>2026-10-27</t>
        </is>
      </c>
      <c r="P361" s="5" t="inlineStr">
        <is>
          <t>docs/evidencia-final-equipo/vitest-backend.json</t>
        </is>
      </c>
      <c r="Q361" s="5" t="inlineStr">
        <is>
          <t>-</t>
        </is>
      </c>
    </row>
    <row r="362">
      <c r="A362" s="5" t="inlineStr">
        <is>
          <t>Stiven Alejandro Bustamante</t>
        </is>
      </c>
      <c r="B362" s="5" t="inlineStr">
        <is>
          <t>Bolsillos</t>
        </is>
      </c>
      <c r="C362" s="5" t="inlineStr">
        <is>
          <t>HU-23</t>
        </is>
      </c>
      <c r="D362" s="5" t="inlineStr">
        <is>
          <t>Crear bolsillo</t>
        </is>
      </c>
      <c r="E362" s="5" t="inlineStr">
        <is>
          <t>Vitest backend · unitaria</t>
        </is>
      </c>
      <c r="F362" s="5" t="inlineStr">
        <is>
          <t>VT-SupabasePocketFallback.test</t>
        </is>
      </c>
      <c r="G362" s="5" t="inlineStr">
        <is>
          <t>SupabasePocketFallback.test.ts (2 pruebas)</t>
        </is>
      </c>
      <c r="H362" s="5" t="inlineStr">
        <is>
          <t>Unitaria / Integración</t>
        </is>
      </c>
      <c r="I362" s="5" t="inlineStr">
        <is>
          <t>Funcional</t>
        </is>
      </c>
      <c r="J362" s="5" t="inlineStr">
        <is>
          <t>Vitest backend</t>
        </is>
      </c>
      <c r="K362" s="5" t="inlineStr">
        <is>
          <t>backend/src/tests/unit/pocket/SupabasePocketFallback.test.ts</t>
        </is>
      </c>
      <c r="L362" s="5" t="inlineStr">
        <is>
          <t>Todas las pruebas del archivo pasan</t>
        </is>
      </c>
      <c r="M362" s="5" t="inlineStr">
        <is>
          <t>2/2 pasan</t>
        </is>
      </c>
      <c r="N362" s="7" t="inlineStr">
        <is>
          <t>Aprobado</t>
        </is>
      </c>
      <c r="O362" s="5" t="inlineStr">
        <is>
          <t>2026-10-27</t>
        </is>
      </c>
      <c r="P362" s="5" t="inlineStr">
        <is>
          <t>docs/evidencia-final-equipo/vitest-backend.json</t>
        </is>
      </c>
      <c r="Q362" s="5" t="inlineStr">
        <is>
          <t>-</t>
        </is>
      </c>
    </row>
    <row r="363">
      <c r="A363" s="5" t="inlineStr">
        <is>
          <t>Stiven Alejandro Bustamante</t>
        </is>
      </c>
      <c r="B363" s="5" t="inlineStr">
        <is>
          <t>Bolsillos</t>
        </is>
      </c>
      <c r="C363" s="5" t="inlineStr">
        <is>
          <t>HU-23</t>
        </is>
      </c>
      <c r="D363" s="5" t="inlineStr">
        <is>
          <t>Crear bolsillo</t>
        </is>
      </c>
      <c r="E363" s="5" t="inlineStr">
        <is>
          <t>Vitest backend · unitaria</t>
        </is>
      </c>
      <c r="F363" s="5" t="inlineStr">
        <is>
          <t>VT-SupabasePocketFallbackMethods.test</t>
        </is>
      </c>
      <c r="G363" s="5" t="inlineStr">
        <is>
          <t>SupabasePocketFallbackMethods.test.ts (1 pruebas)</t>
        </is>
      </c>
      <c r="H363" s="5" t="inlineStr">
        <is>
          <t>Unitaria / Integración</t>
        </is>
      </c>
      <c r="I363" s="5" t="inlineStr">
        <is>
          <t>Funcional</t>
        </is>
      </c>
      <c r="J363" s="5" t="inlineStr">
        <is>
          <t>Vitest backend</t>
        </is>
      </c>
      <c r="K363" s="5" t="inlineStr">
        <is>
          <t>backend/src/tests/unit/pocket/SupabasePocketFallbackMethods.test.ts</t>
        </is>
      </c>
      <c r="L363" s="5" t="inlineStr">
        <is>
          <t>Todas las pruebas del archivo pasan</t>
        </is>
      </c>
      <c r="M363" s="5" t="inlineStr">
        <is>
          <t>1/1 pasan</t>
        </is>
      </c>
      <c r="N363" s="7" t="inlineStr">
        <is>
          <t>Aprobado</t>
        </is>
      </c>
      <c r="O363" s="5" t="inlineStr">
        <is>
          <t>2026-10-27</t>
        </is>
      </c>
      <c r="P363" s="5" t="inlineStr">
        <is>
          <t>docs/evidencia-final-equipo/vitest-backend.json</t>
        </is>
      </c>
      <c r="Q363" s="5" t="inlineStr">
        <is>
          <t>-</t>
        </is>
      </c>
    </row>
    <row r="364">
      <c r="A364" s="5" t="inlineStr">
        <is>
          <t>Stiven Alejandro Bustamante</t>
        </is>
      </c>
      <c r="B364" s="5" t="inlineStr">
        <is>
          <t>Bolsillos</t>
        </is>
      </c>
      <c r="C364" s="5" t="inlineStr">
        <is>
          <t>HU-23</t>
        </is>
      </c>
      <c r="D364" s="5" t="inlineStr">
        <is>
          <t>Crear bolsillo</t>
        </is>
      </c>
      <c r="E364" s="5" t="inlineStr">
        <is>
          <t>Vitest backend · unitaria</t>
        </is>
      </c>
      <c r="F364" s="5" t="inlineStr">
        <is>
          <t>VT-SupabasePocketRepository.test</t>
        </is>
      </c>
      <c r="G364" s="5" t="inlineStr">
        <is>
          <t>SupabasePocketRepository.test.ts (22 pruebas)</t>
        </is>
      </c>
      <c r="H364" s="5" t="inlineStr">
        <is>
          <t>Unitaria / Integración</t>
        </is>
      </c>
      <c r="I364" s="5" t="inlineStr">
        <is>
          <t>Funcional</t>
        </is>
      </c>
      <c r="J364" s="5" t="inlineStr">
        <is>
          <t>Vitest backend</t>
        </is>
      </c>
      <c r="K364" s="5" t="inlineStr">
        <is>
          <t>backend/src/tests/unit/pocket/SupabasePocketRepository.test.ts</t>
        </is>
      </c>
      <c r="L364" s="5" t="inlineStr">
        <is>
          <t>Todas las pruebas del archivo pasan</t>
        </is>
      </c>
      <c r="M364" s="5" t="inlineStr">
        <is>
          <t>22/22 pasan</t>
        </is>
      </c>
      <c r="N364" s="7" t="inlineStr">
        <is>
          <t>Aprobado</t>
        </is>
      </c>
      <c r="O364" s="5" t="inlineStr">
        <is>
          <t>2026-10-27</t>
        </is>
      </c>
      <c r="P364" s="5" t="inlineStr">
        <is>
          <t>docs/evidencia-final-equipo/vitest-backend.json</t>
        </is>
      </c>
      <c r="Q364" s="5" t="inlineStr">
        <is>
          <t>-</t>
        </is>
      </c>
    </row>
    <row r="365">
      <c r="A365" s="5" t="inlineStr">
        <is>
          <t>Stiven Alejandro Bustamante</t>
        </is>
      </c>
      <c r="B365" s="5" t="inlineStr">
        <is>
          <t>Bolsillos</t>
        </is>
      </c>
      <c r="C365" s="5" t="inlineStr">
        <is>
          <t>HU-23</t>
        </is>
      </c>
      <c r="D365" s="5" t="inlineStr">
        <is>
          <t>Crear bolsillo</t>
        </is>
      </c>
      <c r="E365" s="5" t="inlineStr">
        <is>
          <t>Vitest backend · seguridad</t>
        </is>
      </c>
      <c r="F365" s="5" t="inlineStr">
        <is>
          <t>VT-autenticacion.security.test</t>
        </is>
      </c>
      <c r="G365" s="5" t="inlineStr">
        <is>
          <t>autenticacion.security.test.ts (69 pruebas)</t>
        </is>
      </c>
      <c r="H365" s="5" t="inlineStr">
        <is>
          <t>Unitaria / Integración</t>
        </is>
      </c>
      <c r="I365" s="5" t="inlineStr">
        <is>
          <t>Seguridad</t>
        </is>
      </c>
      <c r="J365" s="5" t="inlineStr">
        <is>
          <t>Vitest backend</t>
        </is>
      </c>
      <c r="K365" s="5" t="inlineStr">
        <is>
          <t>backend/src/tests/security/pocket/autenticacion.security.test.ts</t>
        </is>
      </c>
      <c r="L365" s="5" t="inlineStr">
        <is>
          <t>Todas las pruebas del archivo pasan</t>
        </is>
      </c>
      <c r="M365" s="5" t="inlineStr">
        <is>
          <t>69/69 pasan</t>
        </is>
      </c>
      <c r="N365" s="7" t="inlineStr">
        <is>
          <t>Aprobado</t>
        </is>
      </c>
      <c r="O365" s="5" t="inlineStr">
        <is>
          <t>2026-10-27</t>
        </is>
      </c>
      <c r="P365" s="5" t="inlineStr">
        <is>
          <t>docs/evidencia-final-equipo/vitest-backend.json</t>
        </is>
      </c>
      <c r="Q365" s="5" t="inlineStr">
        <is>
          <t>-</t>
        </is>
      </c>
    </row>
    <row r="366">
      <c r="A366" s="5" t="inlineStr">
        <is>
          <t>Stiven Alejandro Bustamante</t>
        </is>
      </c>
      <c r="B366" s="5" t="inlineStr">
        <is>
          <t>Bolsillos</t>
        </is>
      </c>
      <c r="C366" s="5" t="inlineStr">
        <is>
          <t>HU-23</t>
        </is>
      </c>
      <c r="D366" s="5" t="inlineStr">
        <is>
          <t>Crear bolsillo</t>
        </is>
      </c>
      <c r="E366" s="5" t="inlineStr">
        <is>
          <t>Vitest backend · seguridad</t>
        </is>
      </c>
      <c r="F366" s="5" t="inlineStr">
        <is>
          <t>VT-autorizacion.security.test</t>
        </is>
      </c>
      <c r="G366" s="5" t="inlineStr">
        <is>
          <t>autorizacion.security.test.ts (15 pruebas)</t>
        </is>
      </c>
      <c r="H366" s="5" t="inlineStr">
        <is>
          <t>Unitaria / Integración</t>
        </is>
      </c>
      <c r="I366" s="5" t="inlineStr">
        <is>
          <t>Seguridad</t>
        </is>
      </c>
      <c r="J366" s="5" t="inlineStr">
        <is>
          <t>Vitest backend</t>
        </is>
      </c>
      <c r="K366" s="5" t="inlineStr">
        <is>
          <t>backend/src/tests/security/pocket/autorizacion.security.test.ts</t>
        </is>
      </c>
      <c r="L366" s="5" t="inlineStr">
        <is>
          <t>Todas las pruebas del archivo pasan</t>
        </is>
      </c>
      <c r="M366" s="5" t="inlineStr">
        <is>
          <t>15/15 pasan</t>
        </is>
      </c>
      <c r="N366" s="7" t="inlineStr">
        <is>
          <t>Aprobado</t>
        </is>
      </c>
      <c r="O366" s="5" t="inlineStr">
        <is>
          <t>2026-10-27</t>
        </is>
      </c>
      <c r="P366" s="5" t="inlineStr">
        <is>
          <t>docs/evidencia-final-equipo/vitest-backend.json</t>
        </is>
      </c>
      <c r="Q366" s="5" t="inlineStr">
        <is>
          <t>-</t>
        </is>
      </c>
    </row>
    <row r="367">
      <c r="A367" s="5" t="inlineStr">
        <is>
          <t>Stiven Alejandro Bustamante</t>
        </is>
      </c>
      <c r="B367" s="5" t="inlineStr">
        <is>
          <t>Bolsillos</t>
        </is>
      </c>
      <c r="C367" s="5" t="inlineStr">
        <is>
          <t>HU-23</t>
        </is>
      </c>
      <c r="D367" s="5" t="inlineStr">
        <is>
          <t>Crear bolsillo</t>
        </is>
      </c>
      <c r="E367" s="5" t="inlineStr">
        <is>
          <t>Vitest backend · performance</t>
        </is>
      </c>
      <c r="F367" s="5" t="inlineStr">
        <is>
          <t>VT-bolsillos.performance.test</t>
        </is>
      </c>
      <c r="G367" s="5" t="inlineStr">
        <is>
          <t>bolsillos.performance.test.ts (8 pruebas)</t>
        </is>
      </c>
      <c r="H367" s="5" t="inlineStr">
        <is>
          <t>Unitaria / Integración</t>
        </is>
      </c>
      <c r="I367" s="5" t="inlineStr">
        <is>
          <t>Rendimiento</t>
        </is>
      </c>
      <c r="J367" s="5" t="inlineStr">
        <is>
          <t>Vitest backend</t>
        </is>
      </c>
      <c r="K367" s="5" t="inlineStr">
        <is>
          <t>backend/src/tests/performance/pocket/bolsillos.performance.test.ts</t>
        </is>
      </c>
      <c r="L367" s="5" t="inlineStr">
        <is>
          <t>Todas las pruebas del archivo pasan</t>
        </is>
      </c>
      <c r="M367" s="5" t="inlineStr">
        <is>
          <t>8/8 pasan (corrida aislada; en paralelo con la suite completa la auth excede 150 ms)</t>
        </is>
      </c>
      <c r="N367" s="7" t="inlineStr">
        <is>
          <t>Aprobado</t>
        </is>
      </c>
      <c r="O367" s="5" t="inlineStr">
        <is>
          <t>2026-10-27</t>
        </is>
      </c>
      <c r="P367" s="5" t="inlineStr">
        <is>
          <t>docs/evidencia-final-equipo/vitest-performance-aislado.json</t>
        </is>
      </c>
      <c r="Q367" s="5" t="inlineStr">
        <is>
          <t>-</t>
        </is>
      </c>
    </row>
    <row r="368">
      <c r="A368" s="5" t="inlineStr">
        <is>
          <t>Stiven Alejandro Bustamante</t>
        </is>
      </c>
      <c r="B368" s="5" t="inlineStr">
        <is>
          <t>Bolsillos</t>
        </is>
      </c>
      <c r="C368" s="5" t="inlineStr">
        <is>
          <t>HU-23</t>
        </is>
      </c>
      <c r="D368" s="5" t="inlineStr">
        <is>
          <t>Crear bolsillo</t>
        </is>
      </c>
      <c r="E368" s="5" t="inlineStr">
        <is>
          <t>Vitest backend · regresión</t>
        </is>
      </c>
      <c r="F368" s="5" t="inlineStr">
        <is>
          <t>VT-ciclo-de-vida.regression.test</t>
        </is>
      </c>
      <c r="G368" s="5" t="inlineStr">
        <is>
          <t>ciclo-de-vida.regression.test.ts (2 pruebas)</t>
        </is>
      </c>
      <c r="H368" s="5" t="inlineStr">
        <is>
          <t>Unitaria / Integración</t>
        </is>
      </c>
      <c r="I368" s="5" t="inlineStr">
        <is>
          <t>Funcional</t>
        </is>
      </c>
      <c r="J368" s="5" t="inlineStr">
        <is>
          <t>Vitest backend</t>
        </is>
      </c>
      <c r="K368" s="5" t="inlineStr">
        <is>
          <t>backend/src/tests/regression/pocket/ciclo-de-vida.regression.test.ts</t>
        </is>
      </c>
      <c r="L368" s="5" t="inlineStr">
        <is>
          <t>Todas las pruebas del archivo pasan</t>
        </is>
      </c>
      <c r="M368" s="5" t="inlineStr">
        <is>
          <t>2/2 pasan</t>
        </is>
      </c>
      <c r="N368" s="7" t="inlineStr">
        <is>
          <t>Aprobado</t>
        </is>
      </c>
      <c r="O368" s="5" t="inlineStr">
        <is>
          <t>2026-10-27</t>
        </is>
      </c>
      <c r="P368" s="5" t="inlineStr">
        <is>
          <t>docs/evidencia-final-equipo/vitest-backend.json</t>
        </is>
      </c>
      <c r="Q368" s="5" t="inlineStr">
        <is>
          <t>-</t>
        </is>
      </c>
    </row>
    <row r="369">
      <c r="A369" s="5" t="inlineStr">
        <is>
          <t>Stiven Alejandro Bustamante</t>
        </is>
      </c>
      <c r="B369" s="5" t="inlineStr">
        <is>
          <t>Bolsillos</t>
        </is>
      </c>
      <c r="C369" s="5" t="inlineStr">
        <is>
          <t>HU-23</t>
        </is>
      </c>
      <c r="D369" s="5" t="inlineStr">
        <is>
          <t>Crear bolsillo</t>
        </is>
      </c>
      <c r="E369" s="5" t="inlineStr">
        <is>
          <t>Vitest backend · regresión</t>
        </is>
      </c>
      <c r="F369" s="5" t="inlineStr">
        <is>
          <t>VT-crear.regression.test</t>
        </is>
      </c>
      <c r="G369" s="5" t="inlineStr">
        <is>
          <t>crear.regression.test.ts (21 pruebas)</t>
        </is>
      </c>
      <c r="H369" s="5" t="inlineStr">
        <is>
          <t>Unitaria / Integración</t>
        </is>
      </c>
      <c r="I369" s="5" t="inlineStr">
        <is>
          <t>Funcional</t>
        </is>
      </c>
      <c r="J369" s="5" t="inlineStr">
        <is>
          <t>Vitest backend</t>
        </is>
      </c>
      <c r="K369" s="5" t="inlineStr">
        <is>
          <t>backend/src/tests/regression/pocket/crear.regression.test.ts</t>
        </is>
      </c>
      <c r="L369" s="5" t="inlineStr">
        <is>
          <t>Todas las pruebas del archivo pasan</t>
        </is>
      </c>
      <c r="M369" s="5" t="inlineStr">
        <is>
          <t>21/21 pasan</t>
        </is>
      </c>
      <c r="N369" s="7" t="inlineStr">
        <is>
          <t>Aprobado</t>
        </is>
      </c>
      <c r="O369" s="5" t="inlineStr">
        <is>
          <t>2026-10-27</t>
        </is>
      </c>
      <c r="P369" s="5" t="inlineStr">
        <is>
          <t>docs/evidencia-final-equipo/vitest-backend.json</t>
        </is>
      </c>
      <c r="Q369" s="5" t="inlineStr">
        <is>
          <t>-</t>
        </is>
      </c>
    </row>
    <row r="370">
      <c r="A370" s="5" t="inlineStr">
        <is>
          <t>Stiven Alejandro Bustamante</t>
        </is>
      </c>
      <c r="B370" s="5" t="inlineStr">
        <is>
          <t>Bolsillos</t>
        </is>
      </c>
      <c r="C370" s="5" t="inlineStr">
        <is>
          <t>HU-23</t>
        </is>
      </c>
      <c r="D370" s="5" t="inlineStr">
        <is>
          <t>Crear bolsillo</t>
        </is>
      </c>
      <c r="E370" s="5" t="inlineStr">
        <is>
          <t>Vitest backend · seguridad</t>
        </is>
      </c>
      <c r="F370" s="5" t="inlineStr">
        <is>
          <t>VT-endurecimiento.security.test</t>
        </is>
      </c>
      <c r="G370" s="5" t="inlineStr">
        <is>
          <t>endurecimiento.security.test.ts (17 pruebas)</t>
        </is>
      </c>
      <c r="H370" s="5" t="inlineStr">
        <is>
          <t>Unitaria / Integración</t>
        </is>
      </c>
      <c r="I370" s="5" t="inlineStr">
        <is>
          <t>Seguridad</t>
        </is>
      </c>
      <c r="J370" s="5" t="inlineStr">
        <is>
          <t>Vitest backend</t>
        </is>
      </c>
      <c r="K370" s="5" t="inlineStr">
        <is>
          <t>backend/src/tests/security/pocket/endurecimiento.security.test.ts</t>
        </is>
      </c>
      <c r="L370" s="5" t="inlineStr">
        <is>
          <t>Todas las pruebas del archivo pasan</t>
        </is>
      </c>
      <c r="M370" s="5" t="inlineStr">
        <is>
          <t>17/17 pasan</t>
        </is>
      </c>
      <c r="N370" s="7" t="inlineStr">
        <is>
          <t>Aprobado</t>
        </is>
      </c>
      <c r="O370" s="5" t="inlineStr">
        <is>
          <t>2026-10-27</t>
        </is>
      </c>
      <c r="P370" s="5" t="inlineStr">
        <is>
          <t>docs/evidencia-final-equipo/vitest-backend.json</t>
        </is>
      </c>
      <c r="Q370" s="5" t="inlineStr">
        <is>
          <t>-</t>
        </is>
      </c>
    </row>
    <row r="371">
      <c r="A371" s="5" t="inlineStr">
        <is>
          <t>Stiven Alejandro Bustamante</t>
        </is>
      </c>
      <c r="B371" s="5" t="inlineStr">
        <is>
          <t>Bolsillos</t>
        </is>
      </c>
      <c r="C371" s="5" t="inlineStr">
        <is>
          <t>HU-23</t>
        </is>
      </c>
      <c r="D371" s="5" t="inlineStr">
        <is>
          <t>Crear bolsillo</t>
        </is>
      </c>
      <c r="E371" s="5" t="inlineStr">
        <is>
          <t>Vitest backend · seguridad</t>
        </is>
      </c>
      <c r="F371" s="5" t="inlineStr">
        <is>
          <t>VT-entrada.security.test</t>
        </is>
      </c>
      <c r="G371" s="5" t="inlineStr">
        <is>
          <t>entrada.security.test.ts (53 pruebas)</t>
        </is>
      </c>
      <c r="H371" s="5" t="inlineStr">
        <is>
          <t>Unitaria / Integración</t>
        </is>
      </c>
      <c r="I371" s="5" t="inlineStr">
        <is>
          <t>Seguridad</t>
        </is>
      </c>
      <c r="J371" s="5" t="inlineStr">
        <is>
          <t>Vitest backend</t>
        </is>
      </c>
      <c r="K371" s="5" t="inlineStr">
        <is>
          <t>backend/src/tests/security/pocket/entrada.security.test.ts</t>
        </is>
      </c>
      <c r="L371" s="5" t="inlineStr">
        <is>
          <t>Todas las pruebas del archivo pasan</t>
        </is>
      </c>
      <c r="M371" s="5" t="inlineStr">
        <is>
          <t>53/53 pasan</t>
        </is>
      </c>
      <c r="N371" s="7" t="inlineStr">
        <is>
          <t>Aprobado</t>
        </is>
      </c>
      <c r="O371" s="5" t="inlineStr">
        <is>
          <t>2026-10-27</t>
        </is>
      </c>
      <c r="P371" s="5" t="inlineStr">
        <is>
          <t>docs/evidencia-final-equipo/vitest-backend.json</t>
        </is>
      </c>
      <c r="Q371" s="5" t="inlineStr">
        <is>
          <t>-</t>
        </is>
      </c>
    </row>
    <row r="372">
      <c r="A372" s="5" t="inlineStr">
        <is>
          <t>Stiven Alejandro Bustamante</t>
        </is>
      </c>
      <c r="B372" s="5" t="inlineStr">
        <is>
          <t>Bolsillos</t>
        </is>
      </c>
      <c r="C372" s="5" t="inlineStr">
        <is>
          <t>HU-23</t>
        </is>
      </c>
      <c r="D372" s="5" t="inlineStr">
        <is>
          <t>Crear bolsillo</t>
        </is>
      </c>
      <c r="E372" s="5" t="inlineStr">
        <is>
          <t>Vitest backend · API</t>
        </is>
      </c>
      <c r="F372" s="5" t="inlineStr">
        <is>
          <t>VT-pocket.api.test</t>
        </is>
      </c>
      <c r="G372" s="5" t="inlineStr">
        <is>
          <t>pocket.api.test.ts (5 pruebas)</t>
        </is>
      </c>
      <c r="H372" s="5" t="inlineStr">
        <is>
          <t>Unitaria / Integración</t>
        </is>
      </c>
      <c r="I372" s="5" t="inlineStr">
        <is>
          <t>Funcional</t>
        </is>
      </c>
      <c r="J372" s="5" t="inlineStr">
        <is>
          <t>Vitest backend</t>
        </is>
      </c>
      <c r="K372" s="5" t="inlineStr">
        <is>
          <t>backend/src/tests/api/pocket.api.test.ts</t>
        </is>
      </c>
      <c r="L372" s="5" t="inlineStr">
        <is>
          <t>Todas las pruebas del archivo pasan</t>
        </is>
      </c>
      <c r="M372" s="5" t="inlineStr">
        <is>
          <t>5/5 pasan</t>
        </is>
      </c>
      <c r="N372" s="7" t="inlineStr">
        <is>
          <t>Aprobado</t>
        </is>
      </c>
      <c r="O372" s="5" t="inlineStr">
        <is>
          <t>2026-10-27</t>
        </is>
      </c>
      <c r="P372" s="5" t="inlineStr">
        <is>
          <t>docs/evidencia-final-equipo/vitest-backend.json</t>
        </is>
      </c>
      <c r="Q372" s="5" t="inlineStr">
        <is>
          <t>-</t>
        </is>
      </c>
    </row>
    <row r="373">
      <c r="A373" s="5" t="inlineStr">
        <is>
          <t>Stiven Alejandro Bustamante</t>
        </is>
      </c>
      <c r="B373" s="5" t="inlineStr">
        <is>
          <t>Bolsillos</t>
        </is>
      </c>
      <c r="C373" s="5" t="inlineStr">
        <is>
          <t>HU-23</t>
        </is>
      </c>
      <c r="D373" s="5" t="inlineStr">
        <is>
          <t>Crear bolsillo</t>
        </is>
      </c>
      <c r="E373" s="5" t="inlineStr">
        <is>
          <t>Vitest backend · performance</t>
        </is>
      </c>
      <c r="F373" s="5" t="inlineStr">
        <is>
          <t>VT-pocket.performance.test</t>
        </is>
      </c>
      <c r="G373" s="5" t="inlineStr">
        <is>
          <t>pocket.performance.test.ts (1 pruebas)</t>
        </is>
      </c>
      <c r="H373" s="5" t="inlineStr">
        <is>
          <t>Unitaria / Integración</t>
        </is>
      </c>
      <c r="I373" s="5" t="inlineStr">
        <is>
          <t>Rendimiento</t>
        </is>
      </c>
      <c r="J373" s="5" t="inlineStr">
        <is>
          <t>Vitest backend</t>
        </is>
      </c>
      <c r="K373" s="5" t="inlineStr">
        <is>
          <t>backend/src/tests/performance/pocket.performance.test.ts</t>
        </is>
      </c>
      <c r="L373" s="5" t="inlineStr">
        <is>
          <t>Todas las pruebas del archivo pasan</t>
        </is>
      </c>
      <c r="M373" s="5" t="inlineStr">
        <is>
          <t>1/1 pasan (corrida aislada; en paralelo con la suite completa la auth excede 150 ms)</t>
        </is>
      </c>
      <c r="N373" s="7" t="inlineStr">
        <is>
          <t>Aprobado</t>
        </is>
      </c>
      <c r="O373" s="5" t="inlineStr">
        <is>
          <t>2026-10-27</t>
        </is>
      </c>
      <c r="P373" s="5" t="inlineStr">
        <is>
          <t>docs/evidencia-final-equipo/vitest-performance-aislado.json</t>
        </is>
      </c>
      <c r="Q373" s="5" t="inlineStr">
        <is>
          <t>-</t>
        </is>
      </c>
    </row>
    <row r="374">
      <c r="A374" s="5" t="inlineStr">
        <is>
          <t>Stiven Alejandro Bustamante</t>
        </is>
      </c>
      <c r="B374" s="5" t="inlineStr">
        <is>
          <t>Bolsillos</t>
        </is>
      </c>
      <c r="C374" s="5" t="inlineStr">
        <is>
          <t>HU-23</t>
        </is>
      </c>
      <c r="D374" s="5" t="inlineStr">
        <is>
          <t>Crear bolsillo</t>
        </is>
      </c>
      <c r="E374" s="5" t="inlineStr">
        <is>
          <t>Vitest backend · regresión</t>
        </is>
      </c>
      <c r="F374" s="5" t="inlineStr">
        <is>
          <t>VT-pocket.regression.test</t>
        </is>
      </c>
      <c r="G374" s="5" t="inlineStr">
        <is>
          <t>pocket.regression.test.ts (5 pruebas)</t>
        </is>
      </c>
      <c r="H374" s="5" t="inlineStr">
        <is>
          <t>Unitaria / Integración</t>
        </is>
      </c>
      <c r="I374" s="5" t="inlineStr">
        <is>
          <t>Funcional</t>
        </is>
      </c>
      <c r="J374" s="5" t="inlineStr">
        <is>
          <t>Vitest backend</t>
        </is>
      </c>
      <c r="K374" s="5" t="inlineStr">
        <is>
          <t>backend/src/tests/regression/pocket.regression.test.ts</t>
        </is>
      </c>
      <c r="L374" s="5" t="inlineStr">
        <is>
          <t>Todas las pruebas del archivo pasan</t>
        </is>
      </c>
      <c r="M374" s="5" t="inlineStr">
        <is>
          <t>5/5 pasan</t>
        </is>
      </c>
      <c r="N374" s="7" t="inlineStr">
        <is>
          <t>Aprobado</t>
        </is>
      </c>
      <c r="O374" s="5" t="inlineStr">
        <is>
          <t>2026-10-27</t>
        </is>
      </c>
      <c r="P374" s="5" t="inlineStr">
        <is>
          <t>docs/evidencia-final-equipo/vitest-backend.json</t>
        </is>
      </c>
      <c r="Q374" s="5" t="inlineStr">
        <is>
          <t>-</t>
        </is>
      </c>
    </row>
    <row r="375">
      <c r="A375" s="5" t="inlineStr">
        <is>
          <t>Stiven Alejandro Bustamante</t>
        </is>
      </c>
      <c r="B375" s="5" t="inlineStr">
        <is>
          <t>Bolsillos</t>
        </is>
      </c>
      <c r="C375" s="5" t="inlineStr">
        <is>
          <t>HU-23</t>
        </is>
      </c>
      <c r="D375" s="5" t="inlineStr">
        <is>
          <t>Crear bolsillo</t>
        </is>
      </c>
      <c r="E375" s="5" t="inlineStr">
        <is>
          <t>Vitest backend · seguridad</t>
        </is>
      </c>
      <c r="F375" s="5" t="inlineStr">
        <is>
          <t>VT-pocket.security.test</t>
        </is>
      </c>
      <c r="G375" s="5" t="inlineStr">
        <is>
          <t>pocket.security.test.ts (5 pruebas)</t>
        </is>
      </c>
      <c r="H375" s="5" t="inlineStr">
        <is>
          <t>Unitaria / Integración</t>
        </is>
      </c>
      <c r="I375" s="5" t="inlineStr">
        <is>
          <t>Seguridad</t>
        </is>
      </c>
      <c r="J375" s="5" t="inlineStr">
        <is>
          <t>Vitest backend</t>
        </is>
      </c>
      <c r="K375" s="5" t="inlineStr">
        <is>
          <t>backend/src/tests/security/pocket.security.test.ts</t>
        </is>
      </c>
      <c r="L375" s="5" t="inlineStr">
        <is>
          <t>Todas las pruebas del archivo pasan</t>
        </is>
      </c>
      <c r="M375" s="5" t="inlineStr">
        <is>
          <t>5/5 pasan</t>
        </is>
      </c>
      <c r="N375" s="7" t="inlineStr">
        <is>
          <t>Aprobado</t>
        </is>
      </c>
      <c r="O375" s="5" t="inlineStr">
        <is>
          <t>2026-10-27</t>
        </is>
      </c>
      <c r="P375" s="5" t="inlineStr">
        <is>
          <t>docs/evidencia-final-equipo/vitest-backend.json</t>
        </is>
      </c>
      <c r="Q375" s="5" t="inlineStr">
        <is>
          <t>-</t>
        </is>
      </c>
    </row>
    <row r="376">
      <c r="A376" s="5" t="inlineStr">
        <is>
          <t>Stiven Alejandro Bustamante</t>
        </is>
      </c>
      <c r="B376" s="5" t="inlineStr">
        <is>
          <t>Bolsillos</t>
        </is>
      </c>
      <c r="C376" s="5" t="inlineStr">
        <is>
          <t>HU-23</t>
        </is>
      </c>
      <c r="D376" s="5" t="inlineStr">
        <is>
          <t>Crear bolsillo</t>
        </is>
      </c>
      <c r="E376" s="5" t="inlineStr">
        <is>
          <t>Vitest frontend · unitaria</t>
        </is>
      </c>
      <c r="F376" s="5" t="inlineStr">
        <is>
          <t>VT-PocketsClient.test</t>
        </is>
      </c>
      <c r="G376" s="5" t="inlineStr">
        <is>
          <t>PocketsClient.test.tsx (12 pruebas)</t>
        </is>
      </c>
      <c r="H376" s="5" t="inlineStr">
        <is>
          <t>Unitaria / Integración</t>
        </is>
      </c>
      <c r="I376" s="5" t="inlineStr">
        <is>
          <t>Funcional</t>
        </is>
      </c>
      <c r="J376" s="5" t="inlineStr">
        <is>
          <t>Vitest frontend</t>
        </is>
      </c>
      <c r="K376" s="5" t="inlineStr">
        <is>
          <t>frontend/src/tests/unit/components/PocketsClient.test.tsx</t>
        </is>
      </c>
      <c r="L376" s="5" t="inlineStr">
        <is>
          <t>Todas las pruebas del archivo pasan</t>
        </is>
      </c>
      <c r="M376" s="5" t="inlineStr">
        <is>
          <t>12/12 pasan</t>
        </is>
      </c>
      <c r="N376" s="7" t="inlineStr">
        <is>
          <t>Aprobado</t>
        </is>
      </c>
      <c r="O376" s="5" t="inlineStr">
        <is>
          <t>2026-10-27</t>
        </is>
      </c>
      <c r="P376" s="5" t="inlineStr">
        <is>
          <t>docs/evidencia-final-equipo/vitest-frontend.json</t>
        </is>
      </c>
      <c r="Q376" s="5" t="inlineStr">
        <is>
          <t>-</t>
        </is>
      </c>
    </row>
    <row r="377">
      <c r="A377" s="5" t="inlineStr">
        <is>
          <t>Stiven Alejandro Bustamante</t>
        </is>
      </c>
      <c r="B377" s="5" t="inlineStr">
        <is>
          <t>Bolsillos</t>
        </is>
      </c>
      <c r="C377" s="5" t="inlineStr">
        <is>
          <t>HU-23</t>
        </is>
      </c>
      <c r="D377" s="5" t="inlineStr">
        <is>
          <t>Crear bolsillo</t>
        </is>
      </c>
      <c r="E377" s="5" t="inlineStr">
        <is>
          <t>Vitest frontend · unitaria</t>
        </is>
      </c>
      <c r="F377" s="5" t="inlineStr">
        <is>
          <t>VT-PocketsClient.test</t>
        </is>
      </c>
      <c r="G377" s="5" t="inlineStr">
        <is>
          <t>PocketsClient.test.tsx (12 pruebas)</t>
        </is>
      </c>
      <c r="H377" s="5" t="inlineStr">
        <is>
          <t>Unitaria / Integración</t>
        </is>
      </c>
      <c r="I377" s="5" t="inlineStr">
        <is>
          <t>Funcional</t>
        </is>
      </c>
      <c r="J377" s="5" t="inlineStr">
        <is>
          <t>Vitest frontend</t>
        </is>
      </c>
      <c r="K377" s="5" t="inlineStr">
        <is>
          <t>frontend/src/tests/unit/pockets/PocketsClient.test.tsx</t>
        </is>
      </c>
      <c r="L377" s="5" t="inlineStr">
        <is>
          <t>Todas las pruebas del archivo pasan</t>
        </is>
      </c>
      <c r="M377" s="5" t="inlineStr">
        <is>
          <t>12/12 pasan</t>
        </is>
      </c>
      <c r="N377" s="7" t="inlineStr">
        <is>
          <t>Aprobado</t>
        </is>
      </c>
      <c r="O377" s="5" t="inlineStr">
        <is>
          <t>2026-10-27</t>
        </is>
      </c>
      <c r="P377" s="5" t="inlineStr">
        <is>
          <t>docs/evidencia-final-equipo/vitest-frontend.json</t>
        </is>
      </c>
      <c r="Q377" s="5" t="inlineStr">
        <is>
          <t>-</t>
        </is>
      </c>
    </row>
    <row r="378">
      <c r="A378" s="5" t="inlineStr">
        <is>
          <t>Stiven Alejandro Bustamante</t>
        </is>
      </c>
      <c r="B378" s="5" t="inlineStr">
        <is>
          <t>Bolsillos</t>
        </is>
      </c>
      <c r="C378" s="5" t="inlineStr">
        <is>
          <t>HU-23</t>
        </is>
      </c>
      <c r="D378" s="5" t="inlineStr">
        <is>
          <t>Crear bolsillo</t>
        </is>
      </c>
      <c r="E378" s="5" t="inlineStr">
        <is>
          <t>Vitest frontend · unitaria</t>
        </is>
      </c>
      <c r="F378" s="5" t="inlineStr">
        <is>
          <t>VT-pocket.handlers.test</t>
        </is>
      </c>
      <c r="G378" s="5" t="inlineStr">
        <is>
          <t>pocket.handlers.test.ts (17 pruebas)</t>
        </is>
      </c>
      <c r="H378" s="5" t="inlineStr">
        <is>
          <t>Unitaria / Integración</t>
        </is>
      </c>
      <c r="I378" s="5" t="inlineStr">
        <is>
          <t>Funcional</t>
        </is>
      </c>
      <c r="J378" s="5" t="inlineStr">
        <is>
          <t>Vitest frontend</t>
        </is>
      </c>
      <c r="K378" s="5" t="inlineStr">
        <is>
          <t>frontend/src/tests/unit/handlers/pocket.handlers.test.ts</t>
        </is>
      </c>
      <c r="L378" s="5" t="inlineStr">
        <is>
          <t>Todas las pruebas del archivo pasan</t>
        </is>
      </c>
      <c r="M378" s="5" t="inlineStr">
        <is>
          <t>17/17 pasan</t>
        </is>
      </c>
      <c r="N378" s="7" t="inlineStr">
        <is>
          <t>Aprobado</t>
        </is>
      </c>
      <c r="O378" s="5" t="inlineStr">
        <is>
          <t>2026-10-27</t>
        </is>
      </c>
      <c r="P378" s="5" t="inlineStr">
        <is>
          <t>docs/evidencia-final-equipo/vitest-frontend.json</t>
        </is>
      </c>
      <c r="Q378" s="5" t="inlineStr">
        <is>
          <t>-</t>
        </is>
      </c>
    </row>
    <row r="379">
      <c r="A379" s="5" t="inlineStr">
        <is>
          <t>Stiven Alejandro Bustamante</t>
        </is>
      </c>
      <c r="B379" s="5" t="inlineStr">
        <is>
          <t>Bolsillos</t>
        </is>
      </c>
      <c r="C379" s="5" t="inlineStr">
        <is>
          <t>HU-23</t>
        </is>
      </c>
      <c r="D379" s="5" t="inlineStr">
        <is>
          <t>Crear bolsillo</t>
        </is>
      </c>
      <c r="E379" s="5" t="inlineStr">
        <is>
          <t>Vitest frontend · unitaria</t>
        </is>
      </c>
      <c r="F379" s="5" t="inlineStr">
        <is>
          <t>VT-pocket.handlers.test</t>
        </is>
      </c>
      <c r="G379" s="5" t="inlineStr">
        <is>
          <t>pocket.handlers.test.ts (18 pruebas)</t>
        </is>
      </c>
      <c r="H379" s="5" t="inlineStr">
        <is>
          <t>Unitaria / Integración</t>
        </is>
      </c>
      <c r="I379" s="5" t="inlineStr">
        <is>
          <t>Funcional</t>
        </is>
      </c>
      <c r="J379" s="5" t="inlineStr">
        <is>
          <t>Vitest frontend</t>
        </is>
      </c>
      <c r="K379" s="5" t="inlineStr">
        <is>
          <t>frontend/src/tests/unit/pockets/pocket.handlers.test.ts</t>
        </is>
      </c>
      <c r="L379" s="5" t="inlineStr">
        <is>
          <t>Todas las pruebas del archivo pasan</t>
        </is>
      </c>
      <c r="M379" s="5" t="inlineStr">
        <is>
          <t>18/18 pasan</t>
        </is>
      </c>
      <c r="N379" s="7" t="inlineStr">
        <is>
          <t>Aprobado</t>
        </is>
      </c>
      <c r="O379" s="5" t="inlineStr">
        <is>
          <t>2026-10-27</t>
        </is>
      </c>
      <c r="P379" s="5" t="inlineStr">
        <is>
          <t>docs/evidencia-final-equipo/vitest-frontend.json</t>
        </is>
      </c>
      <c r="Q379" s="5" t="inlineStr">
        <is>
          <t>-</t>
        </is>
      </c>
    </row>
    <row r="380">
      <c r="A380" s="5" t="inlineStr">
        <is>
          <t>Stiven Alejandro Bustamante</t>
        </is>
      </c>
      <c r="B380" s="5" t="inlineStr">
        <is>
          <t>Bolsillos</t>
        </is>
      </c>
      <c r="C380" s="5" t="inlineStr">
        <is>
          <t>HU-23</t>
        </is>
      </c>
      <c r="D380" s="5" t="inlineStr">
        <is>
          <t>Crear bolsillo</t>
        </is>
      </c>
      <c r="E380" s="5" t="inlineStr">
        <is>
          <t>Vitest frontend · unitaria</t>
        </is>
      </c>
      <c r="F380" s="5" t="inlineStr">
        <is>
          <t>VT-pocket.service.test</t>
        </is>
      </c>
      <c r="G380" s="5" t="inlineStr">
        <is>
          <t>pocket.service.test.ts (5 pruebas)</t>
        </is>
      </c>
      <c r="H380" s="5" t="inlineStr">
        <is>
          <t>Unitaria / Integración</t>
        </is>
      </c>
      <c r="I380" s="5" t="inlineStr">
        <is>
          <t>Funcional</t>
        </is>
      </c>
      <c r="J380" s="5" t="inlineStr">
        <is>
          <t>Vitest frontend</t>
        </is>
      </c>
      <c r="K380" s="5" t="inlineStr">
        <is>
          <t>frontend/src/tests/unit/pockets/pocket.service.test.ts</t>
        </is>
      </c>
      <c r="L380" s="5" t="inlineStr">
        <is>
          <t>Todas las pruebas del archivo pasan</t>
        </is>
      </c>
      <c r="M380" s="5" t="inlineStr">
        <is>
          <t>5/5 pasan</t>
        </is>
      </c>
      <c r="N380" s="7" t="inlineStr">
        <is>
          <t>Aprobado</t>
        </is>
      </c>
      <c r="O380" s="5" t="inlineStr">
        <is>
          <t>2026-10-27</t>
        </is>
      </c>
      <c r="P380" s="5" t="inlineStr">
        <is>
          <t>docs/evidencia-final-equipo/vitest-frontend.json</t>
        </is>
      </c>
      <c r="Q380" s="5" t="inlineStr">
        <is>
          <t>-</t>
        </is>
      </c>
    </row>
    <row r="381">
      <c r="A381" s="5" t="inlineStr">
        <is>
          <t>Stiven Alejandro Bustamante</t>
        </is>
      </c>
      <c r="B381" s="5" t="inlineStr">
        <is>
          <t>Bolsillos</t>
        </is>
      </c>
      <c r="C381" s="5" t="inlineStr">
        <is>
          <t>HU-23</t>
        </is>
      </c>
      <c r="D381" s="5" t="inlineStr">
        <is>
          <t>Crear bolsillo</t>
        </is>
      </c>
      <c r="E381" s="5" t="inlineStr">
        <is>
          <t>Vitest frontend · unitaria</t>
        </is>
      </c>
      <c r="F381" s="5" t="inlineStr">
        <is>
          <t>VT-pocket.service.test</t>
        </is>
      </c>
      <c r="G381" s="5" t="inlineStr">
        <is>
          <t>pocket.service.test.ts (5 pruebas)</t>
        </is>
      </c>
      <c r="H381" s="5" t="inlineStr">
        <is>
          <t>Unitaria / Integración</t>
        </is>
      </c>
      <c r="I381" s="5" t="inlineStr">
        <is>
          <t>Funcional</t>
        </is>
      </c>
      <c r="J381" s="5" t="inlineStr">
        <is>
          <t>Vitest frontend</t>
        </is>
      </c>
      <c r="K381" s="5" t="inlineStr">
        <is>
          <t>frontend/src/tests/unit/services/pocket.service.test.ts</t>
        </is>
      </c>
      <c r="L381" s="5" t="inlineStr">
        <is>
          <t>Todas las pruebas del archivo pasan</t>
        </is>
      </c>
      <c r="M381" s="5" t="inlineStr">
        <is>
          <t>5/5 pasan</t>
        </is>
      </c>
      <c r="N381" s="7" t="inlineStr">
        <is>
          <t>Aprobado</t>
        </is>
      </c>
      <c r="O381" s="5" t="inlineStr">
        <is>
          <t>2026-10-27</t>
        </is>
      </c>
      <c r="P381" s="5" t="inlineStr">
        <is>
          <t>docs/evidencia-final-equipo/vitest-frontend.json</t>
        </is>
      </c>
      <c r="Q381" s="5" t="inlineStr">
        <is>
          <t>-</t>
        </is>
      </c>
    </row>
    <row r="382">
      <c r="A382" s="5" t="inlineStr">
        <is>
          <t>Stiven Alejandro Bustamante</t>
        </is>
      </c>
      <c r="B382" s="5" t="inlineStr">
        <is>
          <t>Bolsillos</t>
        </is>
      </c>
      <c r="C382" s="5" t="inlineStr">
        <is>
          <t>HU-23</t>
        </is>
      </c>
      <c r="D382" s="5" t="inlineStr">
        <is>
          <t>Crear bolsillo</t>
        </is>
      </c>
      <c r="E382" s="5" t="inlineStr">
        <is>
          <t>Vitest frontend · seguridad</t>
        </is>
      </c>
      <c r="F382" s="5" t="inlineStr">
        <is>
          <t>VT-pockets.xss.test</t>
        </is>
      </c>
      <c r="G382" s="5" t="inlineStr">
        <is>
          <t>pockets.xss.test.tsx (4 pruebas)</t>
        </is>
      </c>
      <c r="H382" s="5" t="inlineStr">
        <is>
          <t>Unitaria / Integración</t>
        </is>
      </c>
      <c r="I382" s="5" t="inlineStr">
        <is>
          <t>Seguridad</t>
        </is>
      </c>
      <c r="J382" s="5" t="inlineStr">
        <is>
          <t>Vitest frontend</t>
        </is>
      </c>
      <c r="K382" s="5" t="inlineStr">
        <is>
          <t>frontend/src/tests/unit/security/pockets.xss.test.tsx</t>
        </is>
      </c>
      <c r="L382" s="5" t="inlineStr">
        <is>
          <t>Todas las pruebas del archivo pasan</t>
        </is>
      </c>
      <c r="M382" s="5" t="inlineStr">
        <is>
          <t>4/4 pasan</t>
        </is>
      </c>
      <c r="N382" s="7" t="inlineStr">
        <is>
          <t>Aprobado</t>
        </is>
      </c>
      <c r="O382" s="5" t="inlineStr">
        <is>
          <t>2026-10-27</t>
        </is>
      </c>
      <c r="P382" s="5" t="inlineStr">
        <is>
          <t>docs/evidencia-final-equipo/vitest-frontend.json</t>
        </is>
      </c>
      <c r="Q382" s="5" t="inlineStr">
        <is>
          <t>-</t>
        </is>
      </c>
    </row>
    <row r="383">
      <c r="A383" s="5" t="inlineStr">
        <is>
          <t>Stiven Alejandro Bustamante</t>
        </is>
      </c>
      <c r="B383" s="5" t="inlineStr">
        <is>
          <t>Bolsillos</t>
        </is>
      </c>
      <c r="C383" s="5" t="inlineStr">
        <is>
          <t>HU-24</t>
        </is>
      </c>
      <c r="D383" s="5" t="inlineStr">
        <is>
          <t>Consultar bolsillos</t>
        </is>
      </c>
      <c r="E383" s="5" t="inlineStr">
        <is>
          <t>ESC034</t>
        </is>
      </c>
      <c r="F383" s="5" t="inlineStr">
        <is>
          <t>TC-112</t>
        </is>
      </c>
      <c r="G383" s="5" t="inlineStr">
        <is>
          <t>Cuenta con un bolsillo</t>
        </is>
      </c>
      <c r="H383" s="5" t="inlineStr">
        <is>
          <t>Integración</t>
        </is>
      </c>
      <c r="I383" s="5" t="inlineStr">
        <is>
          <t>Funcional</t>
        </is>
      </c>
      <c r="J383" s="5" t="inlineStr">
        <is>
          <t>Casos del Excel (diseño + ejecución manual)</t>
        </is>
      </c>
      <c r="K383" s="5" t="inlineStr">
        <is>
          <t>Casos y Escenarios FuBank.xlsx</t>
        </is>
      </c>
      <c r="L383" s="5" t="inlineStr">
        <is>
          <t>Se consultan los bolsillos de una cuenta con un bolsillo; el sistema retorna la lista con un elemento</t>
        </is>
      </c>
      <c r="M383" s="5" t="inlineStr">
        <is>
          <t>Según lo esperado</t>
        </is>
      </c>
      <c r="N383" s="7" t="inlineStr">
        <is>
          <t>Aprobado</t>
        </is>
      </c>
      <c r="O383" s="5" t="inlineStr">
        <is>
          <t>2026-10-10</t>
        </is>
      </c>
      <c r="P383" s="5" t="inlineStr">
        <is>
          <t>Excel (hoja Casos de Prueba Detallado)</t>
        </is>
      </c>
      <c r="Q383" s="5" t="inlineStr">
        <is>
          <t>-</t>
        </is>
      </c>
    </row>
    <row r="384">
      <c r="A384" s="5" t="inlineStr">
        <is>
          <t>Stiven Alejandro Bustamante</t>
        </is>
      </c>
      <c r="B384" s="5" t="inlineStr">
        <is>
          <t>Bolsillos</t>
        </is>
      </c>
      <c r="C384" s="5" t="inlineStr">
        <is>
          <t>HU-24</t>
        </is>
      </c>
      <c r="D384" s="5" t="inlineStr">
        <is>
          <t>Consultar bolsillos</t>
        </is>
      </c>
      <c r="E384" s="5" t="inlineStr">
        <is>
          <t>ESC034</t>
        </is>
      </c>
      <c r="F384" s="5" t="inlineStr">
        <is>
          <t>TC-113</t>
        </is>
      </c>
      <c r="G384" s="5" t="inlineStr">
        <is>
          <t>Cuenta con varios bolsillos</t>
        </is>
      </c>
      <c r="H384" s="5" t="inlineStr">
        <is>
          <t>Integración</t>
        </is>
      </c>
      <c r="I384" s="5" t="inlineStr">
        <is>
          <t>Funcional</t>
        </is>
      </c>
      <c r="J384" s="5" t="inlineStr">
        <is>
          <t>Casos del Excel (diseño + ejecución manual)</t>
        </is>
      </c>
      <c r="K384" s="5" t="inlineStr">
        <is>
          <t>Casos y Escenarios FuBank.xlsx</t>
        </is>
      </c>
      <c r="L384" s="5" t="inlineStr">
        <is>
          <t>Se consultan los bolsillos de una cuenta con varios bolsillos; el sistema los retorna todos</t>
        </is>
      </c>
      <c r="M384" s="5" t="inlineStr">
        <is>
          <t>Según lo esperado (re-prueba 2026-08-24)</t>
        </is>
      </c>
      <c r="N384" s="7" t="inlineStr">
        <is>
          <t>Aprobado</t>
        </is>
      </c>
      <c r="O384" s="5" t="inlineStr">
        <is>
          <t>2026-10-10</t>
        </is>
      </c>
      <c r="P384" s="5" t="inlineStr">
        <is>
          <t>Excel (hoja Casos de Prueba Detallado)</t>
        </is>
      </c>
      <c r="Q384" s="5" t="inlineStr">
        <is>
          <t>DEF-002 (no reproducido)</t>
        </is>
      </c>
    </row>
    <row r="385">
      <c r="A385" s="5" t="inlineStr">
        <is>
          <t>Stiven Alejandro Bustamante</t>
        </is>
      </c>
      <c r="B385" s="5" t="inlineStr">
        <is>
          <t>Bolsillos</t>
        </is>
      </c>
      <c r="C385" s="5" t="inlineStr">
        <is>
          <t>HU-24</t>
        </is>
      </c>
      <c r="D385" s="5" t="inlineStr">
        <is>
          <t>Consultar bolsillos</t>
        </is>
      </c>
      <c r="E385" s="5" t="inlineStr">
        <is>
          <t>ESC034</t>
        </is>
      </c>
      <c r="F385" s="5" t="inlineStr">
        <is>
          <t>TC-114</t>
        </is>
      </c>
      <c r="G385" s="5" t="inlineStr">
        <is>
          <t>Datos correctos por bolsillo</t>
        </is>
      </c>
      <c r="H385" s="5" t="inlineStr">
        <is>
          <t>Integración</t>
        </is>
      </c>
      <c r="I385" s="5" t="inlineStr">
        <is>
          <t>Funcional</t>
        </is>
      </c>
      <c r="J385" s="5" t="inlineStr">
        <is>
          <t>Casos del Excel (diseño + ejecución manual)</t>
        </is>
      </c>
      <c r="K385" s="5" t="inlineStr">
        <is>
          <t>Casos y Escenarios FuBank.xlsx</t>
        </is>
      </c>
      <c r="L385" s="5" t="inlineStr">
        <is>
          <t>Cada bolsillo retornado muestra su nombre y monto correctos</t>
        </is>
      </c>
      <c r="M385" s="5" t="inlineStr">
        <is>
          <t>Según lo esperado</t>
        </is>
      </c>
      <c r="N385" s="7" t="inlineStr">
        <is>
          <t>Aprobado</t>
        </is>
      </c>
      <c r="O385" s="5" t="inlineStr">
        <is>
          <t>2026-10-10</t>
        </is>
      </c>
      <c r="P385" s="5" t="inlineStr">
        <is>
          <t>Excel (hoja Casos de Prueba Detallado)</t>
        </is>
      </c>
      <c r="Q385" s="5" t="inlineStr">
        <is>
          <t>-</t>
        </is>
      </c>
    </row>
    <row r="386">
      <c r="A386" s="5" t="inlineStr">
        <is>
          <t>Stiven Alejandro Bustamante</t>
        </is>
      </c>
      <c r="B386" s="5" t="inlineStr">
        <is>
          <t>Bolsillos</t>
        </is>
      </c>
      <c r="C386" s="5" t="inlineStr">
        <is>
          <t>HU-24</t>
        </is>
      </c>
      <c r="D386" s="5" t="inlineStr">
        <is>
          <t>Consultar bolsillos</t>
        </is>
      </c>
      <c r="E386" s="5" t="inlineStr">
        <is>
          <t>ESC034</t>
        </is>
      </c>
      <c r="F386" s="5" t="inlineStr">
        <is>
          <t>TC-115</t>
        </is>
      </c>
      <c r="G386" s="5" t="inlineStr">
        <is>
          <t>Cuenta sin bolsillos</t>
        </is>
      </c>
      <c r="H386" s="5" t="inlineStr">
        <is>
          <t>Unitaria</t>
        </is>
      </c>
      <c r="I386" s="5" t="inlineStr">
        <is>
          <t>Funcional</t>
        </is>
      </c>
      <c r="J386" s="5" t="inlineStr">
        <is>
          <t>Casos del Excel (diseño + ejecución manual)</t>
        </is>
      </c>
      <c r="K386" s="5" t="inlineStr">
        <is>
          <t>Casos y Escenarios FuBank.xlsx</t>
        </is>
      </c>
      <c r="L386" s="5" t="inlineStr">
        <is>
          <t>Se consulta una cuenta propia sin bolsillos; el sistema retorna una lista vacía</t>
        </is>
      </c>
      <c r="M386" s="5" t="inlineStr">
        <is>
          <t>Según lo esperado</t>
        </is>
      </c>
      <c r="N386" s="7" t="inlineStr">
        <is>
          <t>Aprobado</t>
        </is>
      </c>
      <c r="O386" s="5" t="inlineStr">
        <is>
          <t>2026-10-10</t>
        </is>
      </c>
      <c r="P386" s="5" t="inlineStr">
        <is>
          <t>Excel (hoja Casos de Prueba Detallado)</t>
        </is>
      </c>
      <c r="Q386" s="5" t="inlineStr">
        <is>
          <t>-</t>
        </is>
      </c>
    </row>
    <row r="387">
      <c r="A387" s="5" t="inlineStr">
        <is>
          <t>Stiven Alejandro Bustamante</t>
        </is>
      </c>
      <c r="B387" s="5" t="inlineStr">
        <is>
          <t>Bolsillos</t>
        </is>
      </c>
      <c r="C387" s="5" t="inlineStr">
        <is>
          <t>HU-24</t>
        </is>
      </c>
      <c r="D387" s="5" t="inlineStr">
        <is>
          <t>Consultar bolsillos</t>
        </is>
      </c>
      <c r="E387" s="5" t="inlineStr">
        <is>
          <t>ESC035</t>
        </is>
      </c>
      <c r="F387" s="5" t="inlineStr">
        <is>
          <t>TC-116</t>
        </is>
      </c>
      <c r="G387" s="5" t="inlineStr">
        <is>
          <t>Cuenta ajena</t>
        </is>
      </c>
      <c r="H387" s="5" t="inlineStr">
        <is>
          <t>Unitaria</t>
        </is>
      </c>
      <c r="I387" s="5" t="inlineStr">
        <is>
          <t>Seguridad</t>
        </is>
      </c>
      <c r="J387" s="5" t="inlineStr">
        <is>
          <t>Casos del Excel (diseño + ejecución manual)</t>
        </is>
      </c>
      <c r="K387" s="5" t="inlineStr">
        <is>
          <t>Casos y Escenarios FuBank.xlsx</t>
        </is>
      </c>
      <c r="L387" s="5" t="inlineStr">
        <is>
          <t>Un usuario que no es dueño consulta los bolsillos; el sistema lo rechaza (FORBIDDEN)</t>
        </is>
      </c>
      <c r="M387" s="5" t="inlineStr">
        <is>
          <t>Según lo esperado</t>
        </is>
      </c>
      <c r="N387" s="7" t="inlineStr">
        <is>
          <t>Aprobado</t>
        </is>
      </c>
      <c r="O387" s="5" t="inlineStr">
        <is>
          <t>2026-10-10</t>
        </is>
      </c>
      <c r="P387" s="5" t="inlineStr">
        <is>
          <t>Excel (hoja Casos de Prueba Detallado)</t>
        </is>
      </c>
      <c r="Q387" s="5" t="inlineStr">
        <is>
          <t>-</t>
        </is>
      </c>
    </row>
    <row r="388">
      <c r="A388" s="5" t="inlineStr">
        <is>
          <t>Stiven Alejandro Bustamante</t>
        </is>
      </c>
      <c r="B388" s="5" t="inlineStr">
        <is>
          <t>Bolsillos</t>
        </is>
      </c>
      <c r="C388" s="5" t="inlineStr">
        <is>
          <t>HU-24</t>
        </is>
      </c>
      <c r="D388" s="5" t="inlineStr">
        <is>
          <t>Consultar bolsillos</t>
        </is>
      </c>
      <c r="E388" s="5" t="inlineStr">
        <is>
          <t>ESC035</t>
        </is>
      </c>
      <c r="F388" s="5" t="inlineStr">
        <is>
          <t>TC-117</t>
        </is>
      </c>
      <c r="G388" s="5" t="inlineStr">
        <is>
          <t>Cuenta inexistente</t>
        </is>
      </c>
      <c r="H388" s="5" t="inlineStr">
        <is>
          <t>Unitaria</t>
        </is>
      </c>
      <c r="I388" s="5" t="inlineStr">
        <is>
          <t>Funcional</t>
        </is>
      </c>
      <c r="J388" s="5" t="inlineStr">
        <is>
          <t>Casos del Excel (diseño + ejecución manual)</t>
        </is>
      </c>
      <c r="K388" s="5" t="inlineStr">
        <is>
          <t>Casos y Escenarios FuBank.xlsx</t>
        </is>
      </c>
      <c r="L388" s="5" t="inlineStr">
        <is>
          <t>Se consulta una cuenta con accountId inexistente; el sistema responde ACCOUNT_NOT_FOUND</t>
        </is>
      </c>
      <c r="M388" s="5" t="inlineStr">
        <is>
          <t>Según lo esperado</t>
        </is>
      </c>
      <c r="N388" s="7" t="inlineStr">
        <is>
          <t>Aprobado</t>
        </is>
      </c>
      <c r="O388" s="5" t="inlineStr">
        <is>
          <t>2026-10-10</t>
        </is>
      </c>
      <c r="P388" s="5" t="inlineStr">
        <is>
          <t>Excel (hoja Casos de Prueba Detallado)</t>
        </is>
      </c>
      <c r="Q388" s="5" t="inlineStr">
        <is>
          <t>-</t>
        </is>
      </c>
    </row>
    <row r="389">
      <c r="A389" s="5" t="inlineStr">
        <is>
          <t>Stiven Alejandro Bustamante</t>
        </is>
      </c>
      <c r="B389" s="5" t="inlineStr">
        <is>
          <t>Bolsillos</t>
        </is>
      </c>
      <c r="C389" s="5" t="inlineStr">
        <is>
          <t>HU-24</t>
        </is>
      </c>
      <c r="D389" s="5" t="inlineStr">
        <is>
          <t>Consultar bolsillos</t>
        </is>
      </c>
      <c r="E389" s="5" t="inlineStr">
        <is>
          <t>ESC035</t>
        </is>
      </c>
      <c r="F389" s="5" t="inlineStr">
        <is>
          <t>TC-118</t>
        </is>
      </c>
      <c r="G389" s="5" t="inlineStr">
        <is>
          <t>Sin autenticación</t>
        </is>
      </c>
      <c r="H389" s="5" t="inlineStr">
        <is>
          <t>Unitaria</t>
        </is>
      </c>
      <c r="I389" s="5" t="inlineStr">
        <is>
          <t>Seguridad</t>
        </is>
      </c>
      <c r="J389" s="5" t="inlineStr">
        <is>
          <t>Casos del Excel (diseño + ejecución manual)</t>
        </is>
      </c>
      <c r="K389" s="5" t="inlineStr">
        <is>
          <t>Casos y Escenarios FuBank.xlsx</t>
        </is>
      </c>
      <c r="L389" s="5" t="inlineStr">
        <is>
          <t>Se consulta sin token de sesión válido; el sistema no autoriza la operación</t>
        </is>
      </c>
      <c r="M389" s="5" t="inlineStr">
        <is>
          <t>Según lo esperado</t>
        </is>
      </c>
      <c r="N389" s="7" t="inlineStr">
        <is>
          <t>Aprobado</t>
        </is>
      </c>
      <c r="O389" s="5" t="inlineStr">
        <is>
          <t>2026-10-10</t>
        </is>
      </c>
      <c r="P389" s="5" t="inlineStr">
        <is>
          <t>Excel (hoja Casos de Prueba Detallado)</t>
        </is>
      </c>
      <c r="Q389" s="5" t="inlineStr">
        <is>
          <t>-</t>
        </is>
      </c>
    </row>
    <row r="390">
      <c r="A390" s="5" t="inlineStr">
        <is>
          <t>Stiven Alejandro Bustamante</t>
        </is>
      </c>
      <c r="B390" s="5" t="inlineStr">
        <is>
          <t>Bolsillos</t>
        </is>
      </c>
      <c r="C390" s="5" t="inlineStr">
        <is>
          <t>HU-24</t>
        </is>
      </c>
      <c r="D390" s="5" t="inlineStr">
        <is>
          <t>Consultar bolsillos</t>
        </is>
      </c>
      <c r="E390" s="5" t="inlineStr">
        <is>
          <t>accesibilidad.feature</t>
        </is>
      </c>
      <c r="F390" s="5" t="inlineStr">
        <is>
          <t>CY-ACCE-01</t>
        </is>
      </c>
      <c r="G390" s="5" t="inlineStr">
        <is>
          <t>La pantalla de bolsillos no tiene violaciones graves de accesibilidad</t>
        </is>
      </c>
      <c r="H390" s="5" t="inlineStr">
        <is>
          <t>Sistema (E2E)</t>
        </is>
      </c>
      <c r="I390" s="5" t="inlineStr">
        <is>
          <t>Accesibilidad</t>
        </is>
      </c>
      <c r="J390" s="5" t="inlineStr">
        <is>
          <t>Cypress + Gherkin (Bolsillos)</t>
        </is>
      </c>
      <c r="K390" s="5" t="inlineStr">
        <is>
          <t>cypress/bolsillos/features/accesibilidad.feature</t>
        </is>
      </c>
      <c r="L390" s="5" t="inlineStr">
        <is>
          <t>ella tiene el bolsillo "Vacaciones" con 100000; la pantalla no tiene violaciones de accesibilidad graves</t>
        </is>
      </c>
      <c r="M390" s="5" t="inlineStr">
        <is>
          <t>Todos los pasos pasaron</t>
        </is>
      </c>
      <c r="N390" s="7" t="inlineStr">
        <is>
          <t>Aprobado</t>
        </is>
      </c>
      <c r="O390" s="5" t="inlineStr">
        <is>
          <t>2026-10-27</t>
        </is>
      </c>
      <c r="P390" s="5" t="inlineStr">
        <is>
          <t>docs/evidencia-cypress-bolsillos/despues/cucumber-report.html</t>
        </is>
      </c>
      <c r="Q390" s="5" t="inlineStr">
        <is>
          <t>-</t>
        </is>
      </c>
    </row>
    <row r="391">
      <c r="A391" s="5" t="inlineStr">
        <is>
          <t>Stiven Alejandro Bustamante</t>
        </is>
      </c>
      <c r="B391" s="5" t="inlineStr">
        <is>
          <t>Bolsillos</t>
        </is>
      </c>
      <c r="C391" s="5" t="inlineStr">
        <is>
          <t>HU-24</t>
        </is>
      </c>
      <c r="D391" s="5" t="inlineStr">
        <is>
          <t>Consultar bolsillos</t>
        </is>
      </c>
      <c r="E391" s="5" t="inlineStr">
        <is>
          <t>consultar_bolsillos.feature</t>
        </is>
      </c>
      <c r="F391" s="5" t="inlineStr">
        <is>
          <t>CY-CONS-01</t>
        </is>
      </c>
      <c r="G391" s="5" t="inlineStr">
        <is>
          <t>Consultar los bolsillos de la cuenta</t>
        </is>
      </c>
      <c r="H391" s="5" t="inlineStr">
        <is>
          <t>Integración (API)</t>
        </is>
      </c>
      <c r="I391" s="5" t="inlineStr">
        <is>
          <t>Funcional</t>
        </is>
      </c>
      <c r="J391" s="5" t="inlineStr">
        <is>
          <t>Cypress + Gherkin (Bolsillos)</t>
        </is>
      </c>
      <c r="K391" s="5" t="inlineStr">
        <is>
          <t>e2e/serenity/features/bolsillos/consultar_bolsillos.feature</t>
        </is>
      </c>
      <c r="L391" s="5" t="inlineStr">
        <is>
          <t>la respuesta HTTP tiene estado 200; la respuesta contiene 2 bolsillos</t>
        </is>
      </c>
      <c r="M391" s="5" t="inlineStr">
        <is>
          <t>Todos los pasos pasaron</t>
        </is>
      </c>
      <c r="N391" s="7" t="inlineStr">
        <is>
          <t>Aprobado</t>
        </is>
      </c>
      <c r="O391" s="5" t="inlineStr">
        <is>
          <t>2026-10-27</t>
        </is>
      </c>
      <c r="P391" s="5" t="inlineStr">
        <is>
          <t>docs/evidencia-cypress-bolsillos/despues/cucumber-report.html</t>
        </is>
      </c>
      <c r="Q391" s="5" t="inlineStr">
        <is>
          <t>-</t>
        </is>
      </c>
    </row>
    <row r="392">
      <c r="A392" s="5" t="inlineStr">
        <is>
          <t>Stiven Alejandro Bustamante</t>
        </is>
      </c>
      <c r="B392" s="5" t="inlineStr">
        <is>
          <t>Bolsillos</t>
        </is>
      </c>
      <c r="C392" s="5" t="inlineStr">
        <is>
          <t>HU-24</t>
        </is>
      </c>
      <c r="D392" s="5" t="inlineStr">
        <is>
          <t>Consultar bolsillos</t>
        </is>
      </c>
      <c r="E392" s="5" t="inlineStr">
        <is>
          <t>consultar_bolsillos.feature</t>
        </is>
      </c>
      <c r="F392" s="5" t="inlineStr">
        <is>
          <t>CY-CONS-02</t>
        </is>
      </c>
      <c r="G392" s="5" t="inlineStr">
        <is>
          <t>Una cuenta sin bolsillos devuelve una lista vacía</t>
        </is>
      </c>
      <c r="H392" s="5" t="inlineStr">
        <is>
          <t>Integración (API)</t>
        </is>
      </c>
      <c r="I392" s="5" t="inlineStr">
        <is>
          <t>Funcional</t>
        </is>
      </c>
      <c r="J392" s="5" t="inlineStr">
        <is>
          <t>Cypress + Gherkin (Bolsillos)</t>
        </is>
      </c>
      <c r="K392" s="5" t="inlineStr">
        <is>
          <t>e2e/serenity/features/bolsillos/consultar_bolsillos.feature</t>
        </is>
      </c>
      <c r="L392" s="5" t="inlineStr">
        <is>
          <t>la respuesta HTTP tiene estado 200; la respuesta contiene 0 bolsillos</t>
        </is>
      </c>
      <c r="M392" s="5" t="inlineStr">
        <is>
          <t>Todos los pasos pasaron</t>
        </is>
      </c>
      <c r="N392" s="7" t="inlineStr">
        <is>
          <t>Aprobado</t>
        </is>
      </c>
      <c r="O392" s="5" t="inlineStr">
        <is>
          <t>2026-10-27</t>
        </is>
      </c>
      <c r="P392" s="5" t="inlineStr">
        <is>
          <t>docs/evidencia-cypress-bolsillos/despues/cucumber-report.html</t>
        </is>
      </c>
      <c r="Q392" s="5" t="inlineStr">
        <is>
          <t>-</t>
        </is>
      </c>
    </row>
    <row r="393">
      <c r="A393" s="5" t="inlineStr">
        <is>
          <t>Stiven Alejandro Bustamante</t>
        </is>
      </c>
      <c r="B393" s="5" t="inlineStr">
        <is>
          <t>Bolsillos</t>
        </is>
      </c>
      <c r="C393" s="5" t="inlineStr">
        <is>
          <t>HU-24</t>
        </is>
      </c>
      <c r="D393" s="5" t="inlineStr">
        <is>
          <t>Consultar bolsillos</t>
        </is>
      </c>
      <c r="E393" s="5" t="inlineStr">
        <is>
          <t>consultar_bolsillos.feature</t>
        </is>
      </c>
      <c r="F393" s="5" t="inlineStr">
        <is>
          <t>CY-CONS-03</t>
        </is>
      </c>
      <c r="G393" s="5" t="inlineStr">
        <is>
          <t>No se pueden consultar los bolsillos de otro cliente</t>
        </is>
      </c>
      <c r="H393" s="5" t="inlineStr">
        <is>
          <t>Integración (API)</t>
        </is>
      </c>
      <c r="I393" s="5" t="inlineStr">
        <is>
          <t>Seguridad</t>
        </is>
      </c>
      <c r="J393" s="5" t="inlineStr">
        <is>
          <t>Cypress + Gherkin (Bolsillos)</t>
        </is>
      </c>
      <c r="K393" s="5" t="inlineStr">
        <is>
          <t>e2e/serenity/features/bolsillos/consultar_bolsillos.feature</t>
        </is>
      </c>
      <c r="L393" s="5" t="inlineStr">
        <is>
          <t>la respuesta HTTP tiene estado 403; el código de error es "FORBIDDEN"</t>
        </is>
      </c>
      <c r="M393" s="5" t="inlineStr">
        <is>
          <t>Todos los pasos pasaron</t>
        </is>
      </c>
      <c r="N393" s="7" t="inlineStr">
        <is>
          <t>Aprobado</t>
        </is>
      </c>
      <c r="O393" s="5" t="inlineStr">
        <is>
          <t>2026-10-27</t>
        </is>
      </c>
      <c r="P393" s="5" t="inlineStr">
        <is>
          <t>docs/evidencia-cypress-bolsillos/despues/cucumber-report.html</t>
        </is>
      </c>
      <c r="Q393" s="5" t="inlineStr">
        <is>
          <t>-</t>
        </is>
      </c>
    </row>
    <row r="394">
      <c r="A394" s="5" t="inlineStr">
        <is>
          <t>Stiven Alejandro Bustamante</t>
        </is>
      </c>
      <c r="B394" s="5" t="inlineStr">
        <is>
          <t>Bolsillos</t>
        </is>
      </c>
      <c r="C394" s="5" t="inlineStr">
        <is>
          <t>HU-24</t>
        </is>
      </c>
      <c r="D394" s="5" t="inlineStr">
        <is>
          <t>Consultar bolsillos</t>
        </is>
      </c>
      <c r="E394" s="5" t="inlineStr">
        <is>
          <t>consultar_bolsillos.feature</t>
        </is>
      </c>
      <c r="F394" s="5" t="inlineStr">
        <is>
          <t>CY-CONS-04</t>
        </is>
      </c>
      <c r="G394" s="5" t="inlineStr">
        <is>
          <t>Ver en pantalla los bolsillos de la cuenta</t>
        </is>
      </c>
      <c r="H394" s="5" t="inlineStr">
        <is>
          <t>Sistema (E2E)</t>
        </is>
      </c>
      <c r="I394" s="5" t="inlineStr">
        <is>
          <t>Funcional</t>
        </is>
      </c>
      <c r="J394" s="5" t="inlineStr">
        <is>
          <t>Cypress + Gherkin (Bolsillos)</t>
        </is>
      </c>
      <c r="K394" s="5" t="inlineStr">
        <is>
          <t>e2e/serenity/features/bolsillos/consultar_bolsillos.feature</t>
        </is>
      </c>
      <c r="L394" s="5" t="inlineStr">
        <is>
          <t>ella inició sesión en FuBanking; ella ve los bolsillos:; ella ve el bolsillo "Vacaciones" con 100000; ella ve el bolsillo "Mercado" con 50000</t>
        </is>
      </c>
      <c r="M394" s="5" t="inlineStr">
        <is>
          <t>Todos los pasos pasaron</t>
        </is>
      </c>
      <c r="N394" s="7" t="inlineStr">
        <is>
          <t>Aprobado</t>
        </is>
      </c>
      <c r="O394" s="5" t="inlineStr">
        <is>
          <t>2026-10-27</t>
        </is>
      </c>
      <c r="P394" s="5" t="inlineStr">
        <is>
          <t>docs/evidencia-cypress-bolsillos/despues/cucumber-report.html</t>
        </is>
      </c>
      <c r="Q394" s="5" t="inlineStr">
        <is>
          <t>-</t>
        </is>
      </c>
    </row>
    <row r="395">
      <c r="A395" s="5" t="inlineStr">
        <is>
          <t>Stiven Alejandro Bustamante</t>
        </is>
      </c>
      <c r="B395" s="5" t="inlineStr">
        <is>
          <t>Bolsillos</t>
        </is>
      </c>
      <c r="C395" s="5" t="inlineStr">
        <is>
          <t>HU-24</t>
        </is>
      </c>
      <c r="D395" s="5" t="inlineStr">
        <is>
          <t>Consultar bolsillos</t>
        </is>
      </c>
      <c r="E395" s="5" t="inlineStr">
        <is>
          <t>test-set-0</t>
        </is>
      </c>
      <c r="F395" s="5" t="inlineStr">
        <is>
          <t>KP-get-api-v1-pockets-account-by-id-1</t>
        </is>
      </c>
      <c r="G395" s="5" t="inlineStr">
        <is>
          <t>get-api-v1-pockets-account-by-id-1</t>
        </is>
      </c>
      <c r="H395" s="5" t="inlineStr">
        <is>
          <t>Integración (API, mocks de Supabase)</t>
        </is>
      </c>
      <c r="I395" s="5" t="inlineStr">
        <is>
          <t>Regresión</t>
        </is>
      </c>
      <c r="J395" s="5" t="inlineStr">
        <is>
          <t>IA · Keploy (Alejandro)</t>
        </is>
      </c>
      <c r="K395" s="5" t="inlineStr">
        <is>
          <t>03-keploy/evidence/test-set-0-saneado/tests/get-api-v1-pockets-account-by-id-1.yaml</t>
        </is>
      </c>
      <c r="L395" s="5" t="inlineStr">
        <is>
          <t>Respuesta igual a la grabada (ruido: token, id, Etag)</t>
        </is>
      </c>
      <c r="M395" s="5" t="inlineStr">
        <is>
          <t>Reproducido igual a lo grabado</t>
        </is>
      </c>
      <c r="N395" s="7" t="inlineStr">
        <is>
          <t>Aprobado</t>
        </is>
      </c>
      <c r="O395" s="5" t="inlineStr">
        <is>
          <t>2026-10-27</t>
        </is>
      </c>
      <c r="P395" s="5" t="inlineStr">
        <is>
          <t>03-keploy/evidence/02-replay-con-ruido-50-de-50.txt</t>
        </is>
      </c>
      <c r="Q395" s="5" t="inlineStr">
        <is>
          <t>-</t>
        </is>
      </c>
    </row>
    <row r="396">
      <c r="A396" s="5" t="inlineStr">
        <is>
          <t>Stiven Alejandro Bustamante</t>
        </is>
      </c>
      <c r="B396" s="5" t="inlineStr">
        <is>
          <t>Bolsillos</t>
        </is>
      </c>
      <c r="C396" s="5" t="inlineStr">
        <is>
          <t>HU-24</t>
        </is>
      </c>
      <c r="D396" s="5" t="inlineStr">
        <is>
          <t>Consultar bolsillos</t>
        </is>
      </c>
      <c r="E396" s="5" t="inlineStr">
        <is>
          <t>test-set-0</t>
        </is>
      </c>
      <c r="F396" s="5" t="inlineStr">
        <is>
          <t>KP-get-api-v1-pockets-account-by-id-2</t>
        </is>
      </c>
      <c r="G396" s="5" t="inlineStr">
        <is>
          <t>get-api-v1-pockets-account-by-id-2</t>
        </is>
      </c>
      <c r="H396" s="5" t="inlineStr">
        <is>
          <t>Integración (API, mocks de Supabase)</t>
        </is>
      </c>
      <c r="I396" s="5" t="inlineStr">
        <is>
          <t>Regresión</t>
        </is>
      </c>
      <c r="J396" s="5" t="inlineStr">
        <is>
          <t>IA · Keploy (Alejandro)</t>
        </is>
      </c>
      <c r="K396" s="5" t="inlineStr">
        <is>
          <t>03-keploy/evidence/test-set-0-saneado/tests/get-api-v1-pockets-account-by-id-2.yaml</t>
        </is>
      </c>
      <c r="L396" s="5" t="inlineStr">
        <is>
          <t>Respuesta igual a la grabada (ruido: token, id, Etag)</t>
        </is>
      </c>
      <c r="M396" s="5" t="inlineStr">
        <is>
          <t>Reproducido igual a lo grabado</t>
        </is>
      </c>
      <c r="N396" s="7" t="inlineStr">
        <is>
          <t>Aprobado</t>
        </is>
      </c>
      <c r="O396" s="5" t="inlineStr">
        <is>
          <t>2026-10-27</t>
        </is>
      </c>
      <c r="P396" s="5" t="inlineStr">
        <is>
          <t>03-keploy/evidence/02-replay-con-ruido-50-de-50.txt</t>
        </is>
      </c>
      <c r="Q396" s="5" t="inlineStr">
        <is>
          <t>-</t>
        </is>
      </c>
    </row>
    <row r="397">
      <c r="A397" s="5" t="inlineStr">
        <is>
          <t>Stiven Alejandro Bustamante</t>
        </is>
      </c>
      <c r="B397" s="5" t="inlineStr">
        <is>
          <t>Bolsillos</t>
        </is>
      </c>
      <c r="C397" s="5" t="inlineStr">
        <is>
          <t>HU-24</t>
        </is>
      </c>
      <c r="D397" s="5" t="inlineStr">
        <is>
          <t>Consultar bolsillos</t>
        </is>
      </c>
      <c r="E397" s="5" t="inlineStr">
        <is>
          <t>test-set-0</t>
        </is>
      </c>
      <c r="F397" s="5" t="inlineStr">
        <is>
          <t>KP-get-api-v1-pockets-account-by-id-3</t>
        </is>
      </c>
      <c r="G397" s="5" t="inlineStr">
        <is>
          <t>get-api-v1-pockets-account-by-id-3</t>
        </is>
      </c>
      <c r="H397" s="5" t="inlineStr">
        <is>
          <t>Integración (API, mocks de Supabase)</t>
        </is>
      </c>
      <c r="I397" s="5" t="inlineStr">
        <is>
          <t>Regresión</t>
        </is>
      </c>
      <c r="J397" s="5" t="inlineStr">
        <is>
          <t>IA · Keploy (Alejandro)</t>
        </is>
      </c>
      <c r="K397" s="5" t="inlineStr">
        <is>
          <t>03-keploy/evidence/test-set-0-saneado/tests/get-api-v1-pockets-account-by-id-3.yaml</t>
        </is>
      </c>
      <c r="L397" s="5" t="inlineStr">
        <is>
          <t>Respuesta igual a la grabada (ruido: token, id, Etag)</t>
        </is>
      </c>
      <c r="M397" s="5" t="inlineStr">
        <is>
          <t>Reproducido igual a lo grabado</t>
        </is>
      </c>
      <c r="N397" s="7" t="inlineStr">
        <is>
          <t>Aprobado</t>
        </is>
      </c>
      <c r="O397" s="5" t="inlineStr">
        <is>
          <t>2026-10-27</t>
        </is>
      </c>
      <c r="P397" s="5" t="inlineStr">
        <is>
          <t>03-keploy/evidence/02-replay-con-ruido-50-de-50.txt</t>
        </is>
      </c>
      <c r="Q397" s="5" t="inlineStr">
        <is>
          <t>-</t>
        </is>
      </c>
    </row>
    <row r="398">
      <c r="A398" s="5" t="inlineStr">
        <is>
          <t>Stiven Alejandro Bustamante</t>
        </is>
      </c>
      <c r="B398" s="5" t="inlineStr">
        <is>
          <t>Bolsillos</t>
        </is>
      </c>
      <c r="C398" s="5" t="inlineStr">
        <is>
          <t>HU-24</t>
        </is>
      </c>
      <c r="D398" s="5" t="inlineStr">
        <is>
          <t>Consultar bolsillos</t>
        </is>
      </c>
      <c r="E398" s="5" t="inlineStr">
        <is>
          <t>test-set-0</t>
        </is>
      </c>
      <c r="F398" s="5" t="inlineStr">
        <is>
          <t>KP-get-api-v1-pockets-account-by-id-4</t>
        </is>
      </c>
      <c r="G398" s="5" t="inlineStr">
        <is>
          <t>get-api-v1-pockets-account-by-id-4</t>
        </is>
      </c>
      <c r="H398" s="5" t="inlineStr">
        <is>
          <t>Integración (API, mocks de Supabase)</t>
        </is>
      </c>
      <c r="I398" s="5" t="inlineStr">
        <is>
          <t>Regresión</t>
        </is>
      </c>
      <c r="J398" s="5" t="inlineStr">
        <is>
          <t>IA · Keploy (Alejandro)</t>
        </is>
      </c>
      <c r="K398" s="5" t="inlineStr">
        <is>
          <t>03-keploy/evidence/test-set-0-saneado/tests/get-api-v1-pockets-account-by-id-4.yaml</t>
        </is>
      </c>
      <c r="L398" s="5" t="inlineStr">
        <is>
          <t>Respuesta igual a la grabada (ruido: token, id, Etag)</t>
        </is>
      </c>
      <c r="M398" s="5" t="inlineStr">
        <is>
          <t>Reproducido igual a lo grabado</t>
        </is>
      </c>
      <c r="N398" s="7" t="inlineStr">
        <is>
          <t>Aprobado</t>
        </is>
      </c>
      <c r="O398" s="5" t="inlineStr">
        <is>
          <t>2026-10-27</t>
        </is>
      </c>
      <c r="P398" s="5" t="inlineStr">
        <is>
          <t>03-keploy/evidence/02-replay-con-ruido-50-de-50.txt</t>
        </is>
      </c>
      <c r="Q398" s="5" t="inlineStr">
        <is>
          <t>-</t>
        </is>
      </c>
    </row>
    <row r="399">
      <c r="A399" s="5" t="inlineStr">
        <is>
          <t>Stiven Alejandro Bustamante</t>
        </is>
      </c>
      <c r="B399" s="5" t="inlineStr">
        <is>
          <t>Bolsillos</t>
        </is>
      </c>
      <c r="C399" s="5" t="inlineStr">
        <is>
          <t>HU-24</t>
        </is>
      </c>
      <c r="D399" s="5" t="inlineStr">
        <is>
          <t>Consultar bolsillos</t>
        </is>
      </c>
      <c r="E399" s="5" t="inlineStr">
        <is>
          <t>test-set-0</t>
        </is>
      </c>
      <c r="F399" s="5" t="inlineStr">
        <is>
          <t>KP-get-api-v1-pockets-account-by-id-5</t>
        </is>
      </c>
      <c r="G399" s="5" t="inlineStr">
        <is>
          <t>get-api-v1-pockets-account-by-id-5</t>
        </is>
      </c>
      <c r="H399" s="5" t="inlineStr">
        <is>
          <t>Integración (API, mocks de Supabase)</t>
        </is>
      </c>
      <c r="I399" s="5" t="inlineStr">
        <is>
          <t>Regresión</t>
        </is>
      </c>
      <c r="J399" s="5" t="inlineStr">
        <is>
          <t>IA · Keploy (Alejandro)</t>
        </is>
      </c>
      <c r="K399" s="5" t="inlineStr">
        <is>
          <t>03-keploy/evidence/test-set-0-saneado/tests/get-api-v1-pockets-account-by-id-5.yaml</t>
        </is>
      </c>
      <c r="L399" s="5" t="inlineStr">
        <is>
          <t>Respuesta igual a la grabada (ruido: token, id, Etag)</t>
        </is>
      </c>
      <c r="M399" s="5" t="inlineStr">
        <is>
          <t>Reproducido igual a lo grabado</t>
        </is>
      </c>
      <c r="N399" s="7" t="inlineStr">
        <is>
          <t>Aprobado</t>
        </is>
      </c>
      <c r="O399" s="5" t="inlineStr">
        <is>
          <t>2026-10-27</t>
        </is>
      </c>
      <c r="P399" s="5" t="inlineStr">
        <is>
          <t>03-keploy/evidence/02-replay-con-ruido-50-de-50.txt</t>
        </is>
      </c>
      <c r="Q399" s="5" t="inlineStr">
        <is>
          <t>-</t>
        </is>
      </c>
    </row>
    <row r="400">
      <c r="A400" s="5" t="inlineStr">
        <is>
          <t>Stiven Alejandro Bustamante</t>
        </is>
      </c>
      <c r="B400" s="5" t="inlineStr">
        <is>
          <t>Bolsillos</t>
        </is>
      </c>
      <c r="C400" s="5" t="inlineStr">
        <is>
          <t>HU-24</t>
        </is>
      </c>
      <c r="D400" s="5" t="inlineStr">
        <is>
          <t>Consultar bolsillos</t>
        </is>
      </c>
      <c r="E400" s="5" t="inlineStr">
        <is>
          <t>test-set-0</t>
        </is>
      </c>
      <c r="F400" s="5" t="inlineStr">
        <is>
          <t>KP-get-api-v1-pockets-account-by-id-6</t>
        </is>
      </c>
      <c r="G400" s="5" t="inlineStr">
        <is>
          <t>get-api-v1-pockets-account-by-id-6</t>
        </is>
      </c>
      <c r="H400" s="5" t="inlineStr">
        <is>
          <t>Integración (API, mocks de Supabase)</t>
        </is>
      </c>
      <c r="I400" s="5" t="inlineStr">
        <is>
          <t>Regresión</t>
        </is>
      </c>
      <c r="J400" s="5" t="inlineStr">
        <is>
          <t>IA · Keploy (Alejandro)</t>
        </is>
      </c>
      <c r="K400" s="5" t="inlineStr">
        <is>
          <t>03-keploy/evidence/test-set-0-saneado/tests/get-api-v1-pockets-account-by-id-6.yaml</t>
        </is>
      </c>
      <c r="L400" s="5" t="inlineStr">
        <is>
          <t>Respuesta igual a la grabada (ruido: token, id, Etag)</t>
        </is>
      </c>
      <c r="M400" s="5" t="inlineStr">
        <is>
          <t>Reproducido igual a lo grabado</t>
        </is>
      </c>
      <c r="N400" s="7" t="inlineStr">
        <is>
          <t>Aprobado</t>
        </is>
      </c>
      <c r="O400" s="5" t="inlineStr">
        <is>
          <t>2026-10-27</t>
        </is>
      </c>
      <c r="P400" s="5" t="inlineStr">
        <is>
          <t>03-keploy/evidence/02-replay-con-ruido-50-de-50.txt</t>
        </is>
      </c>
      <c r="Q400" s="5" t="inlineStr">
        <is>
          <t>-</t>
        </is>
      </c>
    </row>
    <row r="401">
      <c r="A401" s="5" t="inlineStr">
        <is>
          <t>Stiven Alejandro Bustamante</t>
        </is>
      </c>
      <c r="B401" s="5" t="inlineStr">
        <is>
          <t>Bolsillos</t>
        </is>
      </c>
      <c r="C401" s="5" t="inlineStr">
        <is>
          <t>HU-24</t>
        </is>
      </c>
      <c r="D401" s="5" t="inlineStr">
        <is>
          <t>Consultar bolsillos</t>
        </is>
      </c>
      <c r="E401" s="5" t="inlineStr">
        <is>
          <t>consultar-bolsillos.spec.ts</t>
        </is>
      </c>
      <c r="F401" s="5" t="inlineStr">
        <is>
          <t>PW-CON-01</t>
        </is>
      </c>
      <c r="G401" s="5" t="inlineStr">
        <is>
          <t>CON-01 · La lista "Bolsillos actuales" muestra los bolsillos existentes con sus montos</t>
        </is>
      </c>
      <c r="H401" s="5" t="inlineStr">
        <is>
          <t>Sistema (E2E)</t>
        </is>
      </c>
      <c r="I401" s="5" t="inlineStr">
        <is>
          <t>Funcional</t>
        </is>
      </c>
      <c r="J401" s="5" t="inlineStr">
        <is>
          <t>IA · Playwright Test Agents (Alejandro)</t>
        </is>
      </c>
      <c r="K401" s="5" t="inlineStr">
        <is>
          <t>herramientas-alejandro/01-playwright-test-agents/tests/consultar-bolsillos.spec.ts</t>
        </is>
      </c>
      <c r="L401" s="5" t="inlineStr">
        <is>
          <t>Según specs/bolsillos-depositar.md</t>
        </is>
      </c>
      <c r="M401" s="5" t="inlineStr">
        <is>
          <t>Pasó</t>
        </is>
      </c>
      <c r="N401" s="7" t="inlineStr">
        <is>
          <t>Aprobado</t>
        </is>
      </c>
      <c r="O401" s="5" t="inlineStr">
        <is>
          <t>2026-10-27</t>
        </is>
      </c>
      <c r="P401" s="5" t="inlineStr">
        <is>
          <t>herramientas-alejandro/01-playwright-test-agents/evidence/html-report</t>
        </is>
      </c>
      <c r="Q401" s="5" t="inlineStr">
        <is>
          <t>-</t>
        </is>
      </c>
    </row>
    <row r="402">
      <c r="A402" s="5" t="inlineStr">
        <is>
          <t>Stiven Alejandro Bustamante</t>
        </is>
      </c>
      <c r="B402" s="5" t="inlineStr">
        <is>
          <t>Bolsillos</t>
        </is>
      </c>
      <c r="C402" s="5" t="inlineStr">
        <is>
          <t>HU-24</t>
        </is>
      </c>
      <c r="D402" s="5" t="inlineStr">
        <is>
          <t>Consultar bolsillos</t>
        </is>
      </c>
      <c r="E402" s="5" t="inlineStr">
        <is>
          <t>consultar-bolsillos.spec.ts</t>
        </is>
      </c>
      <c r="F402" s="5" t="inlineStr">
        <is>
          <t>PW-CON-02</t>
        </is>
      </c>
      <c r="G402" s="5" t="inlineStr">
        <is>
          <t>CON-02 · Cuenta sin bolsillos muestra estado vacío y una falla de la API al cargar muestra un error</t>
        </is>
      </c>
      <c r="H402" s="5" t="inlineStr">
        <is>
          <t>Sistema (E2E)</t>
        </is>
      </c>
      <c r="I402" s="5" t="inlineStr">
        <is>
          <t>Funcional</t>
        </is>
      </c>
      <c r="J402" s="5" t="inlineStr">
        <is>
          <t>IA · Playwright Test Agents (Alejandro)</t>
        </is>
      </c>
      <c r="K402" s="5" t="inlineStr">
        <is>
          <t>herramientas-alejandro/01-playwright-test-agents/tests/consultar-bolsillos.spec.ts</t>
        </is>
      </c>
      <c r="L402" s="5" t="inlineStr">
        <is>
          <t>Según specs/bolsillos-depositar.md</t>
        </is>
      </c>
      <c r="M402" s="5" t="inlineStr">
        <is>
          <t>Pasó</t>
        </is>
      </c>
      <c r="N402" s="7" t="inlineStr">
        <is>
          <t>Aprobado</t>
        </is>
      </c>
      <c r="O402" s="5" t="inlineStr">
        <is>
          <t>2026-10-27</t>
        </is>
      </c>
      <c r="P402" s="5" t="inlineStr">
        <is>
          <t>herramientas-alejandro/01-playwright-test-agents/evidence/html-report</t>
        </is>
      </c>
      <c r="Q402" s="5" t="inlineStr">
        <is>
          <t>-</t>
        </is>
      </c>
    </row>
    <row r="403">
      <c r="A403" s="5" t="inlineStr">
        <is>
          <t>Stiven Alejandro Bustamante</t>
        </is>
      </c>
      <c r="B403" s="5" t="inlineStr">
        <is>
          <t>Bolsillos</t>
        </is>
      </c>
      <c r="C403" s="5" t="inlineStr">
        <is>
          <t>HU-24</t>
        </is>
      </c>
      <c r="D403" s="5" t="inlineStr">
        <is>
          <t>Consultar bolsillos</t>
        </is>
      </c>
      <c r="E403" s="5" t="inlineStr">
        <is>
          <t>02 Consultar bolsillos</t>
        </is>
      </c>
      <c r="F403" s="5" t="inlineStr">
        <is>
          <t>PM-CO-01</t>
        </is>
      </c>
      <c r="G403" s="5" t="inlineStr">
        <is>
          <t>Listar los bolsillos de Ana</t>
        </is>
      </c>
      <c r="H403" s="5" t="inlineStr">
        <is>
          <t>Integración (API)</t>
        </is>
      </c>
      <c r="I403" s="5" t="inlineStr">
        <is>
          <t>Funcional</t>
        </is>
      </c>
      <c r="J403" s="5" t="inlineStr">
        <is>
          <t>IA · Postman + Newman (Alejandro)</t>
        </is>
      </c>
      <c r="K403" s="5" t="inlineStr">
        <is>
          <t>herramientas-alejandro/02-postman-postbot</t>
        </is>
      </c>
      <c r="L403" s="5" t="inlineStr">
        <is>
          <t>Ver descripción del request</t>
        </is>
      </c>
      <c r="M403" s="5" t="inlineStr">
        <is>
          <t>6/6 aserciones</t>
        </is>
      </c>
      <c r="N403" s="7" t="inlineStr">
        <is>
          <t>Aprobado</t>
        </is>
      </c>
      <c r="O403" s="5" t="inlineStr">
        <is>
          <t>2026-10-27</t>
        </is>
      </c>
      <c r="P403" s="5" t="inlineStr">
        <is>
          <t>02-postman-postbot/evidence/newman-report.html</t>
        </is>
      </c>
      <c r="Q403" s="5" t="inlineStr">
        <is>
          <t>-</t>
        </is>
      </c>
    </row>
    <row r="404">
      <c r="A404" s="5" t="inlineStr">
        <is>
          <t>Stiven Alejandro Bustamante</t>
        </is>
      </c>
      <c r="B404" s="5" t="inlineStr">
        <is>
          <t>Bolsillos</t>
        </is>
      </c>
      <c r="C404" s="5" t="inlineStr">
        <is>
          <t>HU-24</t>
        </is>
      </c>
      <c r="D404" s="5" t="inlineStr">
        <is>
          <t>Consultar bolsillos</t>
        </is>
      </c>
      <c r="E404" s="5" t="inlineStr">
        <is>
          <t>02 Consultar bolsillos</t>
        </is>
      </c>
      <c r="F404" s="5" t="inlineStr">
        <is>
          <t>PM-CO-02</t>
        </is>
      </c>
      <c r="G404" s="5" t="inlineStr">
        <is>
          <t>No consultar los bolsillos de otro cliente</t>
        </is>
      </c>
      <c r="H404" s="5" t="inlineStr">
        <is>
          <t>Integración (API)</t>
        </is>
      </c>
      <c r="I404" s="5" t="inlineStr">
        <is>
          <t>Funcional</t>
        </is>
      </c>
      <c r="J404" s="5" t="inlineStr">
        <is>
          <t>IA · Postman + Newman (Alejandro)</t>
        </is>
      </c>
      <c r="K404" s="5" t="inlineStr">
        <is>
          <t>herramientas-alejandro/02-postman-postbot</t>
        </is>
      </c>
      <c r="L404" s="5" t="inlineStr">
        <is>
          <t>Ver descripción del request</t>
        </is>
      </c>
      <c r="M404" s="5" t="inlineStr">
        <is>
          <t>4/4 aserciones</t>
        </is>
      </c>
      <c r="N404" s="7" t="inlineStr">
        <is>
          <t>Aprobado</t>
        </is>
      </c>
      <c r="O404" s="5" t="inlineStr">
        <is>
          <t>2026-10-27</t>
        </is>
      </c>
      <c r="P404" s="5" t="inlineStr">
        <is>
          <t>02-postman-postbot/evidence/newman-report.html</t>
        </is>
      </c>
      <c r="Q404" s="5" t="inlineStr">
        <is>
          <t>-</t>
        </is>
      </c>
    </row>
    <row r="405">
      <c r="A405" s="5" t="inlineStr">
        <is>
          <t>Stiven Alejandro Bustamante</t>
        </is>
      </c>
      <c r="B405" s="5" t="inlineStr">
        <is>
          <t>Bolsillos</t>
        </is>
      </c>
      <c r="C405" s="5" t="inlineStr">
        <is>
          <t>HU-24</t>
        </is>
      </c>
      <c r="D405" s="5" t="inlineStr">
        <is>
          <t>Consultar bolsillos</t>
        </is>
      </c>
      <c r="E405" s="5" t="inlineStr">
        <is>
          <t>Katalon Recorder</t>
        </is>
      </c>
      <c r="F405" s="5" t="inlineStr">
        <is>
          <t>Suite_02_Consultar_bolsillos</t>
        </is>
      </c>
      <c r="G405" s="5" t="inlineStr">
        <is>
          <t>Suite_02_Consultar_bolsillos (casos TC-1xx)</t>
        </is>
      </c>
      <c r="H405" s="5" t="inlineStr">
        <is>
          <t>Sistema (E2E)</t>
        </is>
      </c>
      <c r="I405" s="5" t="inlineStr">
        <is>
          <t>Funcional</t>
        </is>
      </c>
      <c r="J405" s="5" t="inlineStr">
        <is>
          <t>Katalon Recorder</t>
        </is>
      </c>
      <c r="K405" s="5" t="inlineStr">
        <is>
          <t>katalon/suites/Suite_02_Consultar_bolsillos.html</t>
        </is>
      </c>
      <c r="L405" s="5" t="inlineStr">
        <is>
          <t>Todos los casos de la suite pasan</t>
        </is>
      </c>
      <c r="M405" s="5" t="inlineStr">
        <is>
          <t>Parte de la corrida 52/52 en KR7</t>
        </is>
      </c>
      <c r="N405" s="7" t="inlineStr">
        <is>
          <t>Aprobado</t>
        </is>
      </c>
      <c r="O405" s="5" t="inlineStr">
        <is>
          <t>2026-10-10</t>
        </is>
      </c>
      <c r="P405" s="5" t="inlineStr">
        <is>
          <t>katalon/evidencias/</t>
        </is>
      </c>
      <c r="Q405" s="5" t="inlineStr">
        <is>
          <t>-</t>
        </is>
      </c>
    </row>
    <row r="406">
      <c r="A406" s="5" t="inlineStr">
        <is>
          <t>Stiven Alejandro Bustamante</t>
        </is>
      </c>
      <c r="B406" s="5" t="inlineStr">
        <is>
          <t>Bolsillos</t>
        </is>
      </c>
      <c r="C406" s="5" t="inlineStr">
        <is>
          <t>HU-24</t>
        </is>
      </c>
      <c r="D406" s="5" t="inlineStr">
        <is>
          <t>Consultar bolsillos</t>
        </is>
      </c>
      <c r="E406" s="5" t="inlineStr">
        <is>
          <t>consultar_bolsillos.feature</t>
        </is>
      </c>
      <c r="F406" s="5" t="inlineStr">
        <is>
          <t>SJ-CONS-01</t>
        </is>
      </c>
      <c r="G406" s="5" t="inlineStr">
        <is>
          <t>Consultar los bolsillos de la cuenta</t>
        </is>
      </c>
      <c r="H406" s="5" t="inlineStr">
        <is>
          <t>Integración (API)</t>
        </is>
      </c>
      <c r="I406" s="5" t="inlineStr">
        <is>
          <t>Funcional</t>
        </is>
      </c>
      <c r="J406" s="5" t="inlineStr">
        <is>
          <t>Serenity/JS Screenplay + Gherkin</t>
        </is>
      </c>
      <c r="K406" s="5" t="inlineStr">
        <is>
          <t>features/bolsillos/consultar_bolsillos.feature</t>
        </is>
      </c>
      <c r="L406" s="5" t="inlineStr">
        <is>
          <t>la respuesta HTTP tiene estado 200; la respuesta contiene 2 bolsillos</t>
        </is>
      </c>
      <c r="M406" s="5" t="inlineStr">
        <is>
          <t>Todos los pasos pasaron</t>
        </is>
      </c>
      <c r="N406" s="7" t="inlineStr">
        <is>
          <t>Aprobado</t>
        </is>
      </c>
      <c r="O406" s="5" t="inlineStr">
        <is>
          <t>2026-10-27</t>
        </is>
      </c>
      <c r="P406" s="5" t="inlineStr">
        <is>
          <t>docs/evidencia-final-equipo/serenity-equipo-corrida.txt</t>
        </is>
      </c>
      <c r="Q406" s="5" t="inlineStr">
        <is>
          <t>-</t>
        </is>
      </c>
    </row>
    <row r="407">
      <c r="A407" s="5" t="inlineStr">
        <is>
          <t>Stiven Alejandro Bustamante</t>
        </is>
      </c>
      <c r="B407" s="5" t="inlineStr">
        <is>
          <t>Bolsillos</t>
        </is>
      </c>
      <c r="C407" s="5" t="inlineStr">
        <is>
          <t>HU-24</t>
        </is>
      </c>
      <c r="D407" s="5" t="inlineStr">
        <is>
          <t>Consultar bolsillos</t>
        </is>
      </c>
      <c r="E407" s="5" t="inlineStr">
        <is>
          <t>consultar_bolsillos.feature</t>
        </is>
      </c>
      <c r="F407" s="5" t="inlineStr">
        <is>
          <t>SJ-CONS-02</t>
        </is>
      </c>
      <c r="G407" s="5" t="inlineStr">
        <is>
          <t>Una cuenta sin bolsillos devuelve una lista vacía</t>
        </is>
      </c>
      <c r="H407" s="5" t="inlineStr">
        <is>
          <t>Integración (API)</t>
        </is>
      </c>
      <c r="I407" s="5" t="inlineStr">
        <is>
          <t>Funcional</t>
        </is>
      </c>
      <c r="J407" s="5" t="inlineStr">
        <is>
          <t>Serenity/JS Screenplay + Gherkin</t>
        </is>
      </c>
      <c r="K407" s="5" t="inlineStr">
        <is>
          <t>features/bolsillos/consultar_bolsillos.feature</t>
        </is>
      </c>
      <c r="L407" s="5" t="inlineStr">
        <is>
          <t>la respuesta HTTP tiene estado 200; la respuesta contiene 0 bolsillos</t>
        </is>
      </c>
      <c r="M407" s="5" t="inlineStr">
        <is>
          <t>Todos los pasos pasaron</t>
        </is>
      </c>
      <c r="N407" s="7" t="inlineStr">
        <is>
          <t>Aprobado</t>
        </is>
      </c>
      <c r="O407" s="5" t="inlineStr">
        <is>
          <t>2026-10-27</t>
        </is>
      </c>
      <c r="P407" s="5" t="inlineStr">
        <is>
          <t>docs/evidencia-final-equipo/serenity-equipo-corrida.txt</t>
        </is>
      </c>
      <c r="Q407" s="5" t="inlineStr">
        <is>
          <t>-</t>
        </is>
      </c>
    </row>
    <row r="408">
      <c r="A408" s="5" t="inlineStr">
        <is>
          <t>Stiven Alejandro Bustamante</t>
        </is>
      </c>
      <c r="B408" s="5" t="inlineStr">
        <is>
          <t>Bolsillos</t>
        </is>
      </c>
      <c r="C408" s="5" t="inlineStr">
        <is>
          <t>HU-24</t>
        </is>
      </c>
      <c r="D408" s="5" t="inlineStr">
        <is>
          <t>Consultar bolsillos</t>
        </is>
      </c>
      <c r="E408" s="5" t="inlineStr">
        <is>
          <t>consultar_bolsillos.feature</t>
        </is>
      </c>
      <c r="F408" s="5" t="inlineStr">
        <is>
          <t>SJ-CONS-03</t>
        </is>
      </c>
      <c r="G408" s="5" t="inlineStr">
        <is>
          <t>No se pueden consultar los bolsillos de otro cliente</t>
        </is>
      </c>
      <c r="H408" s="5" t="inlineStr">
        <is>
          <t>Integración (API)</t>
        </is>
      </c>
      <c r="I408" s="5" t="inlineStr">
        <is>
          <t>Seguridad</t>
        </is>
      </c>
      <c r="J408" s="5" t="inlineStr">
        <is>
          <t>Serenity/JS Screenplay + Gherkin</t>
        </is>
      </c>
      <c r="K408" s="5" t="inlineStr">
        <is>
          <t>features/bolsillos/consultar_bolsillos.feature</t>
        </is>
      </c>
      <c r="L408" s="5" t="inlineStr">
        <is>
          <t>la respuesta HTTP tiene estado 403; el código de error es "FORBIDDEN"</t>
        </is>
      </c>
      <c r="M408" s="5" t="inlineStr">
        <is>
          <t>Todos los pasos pasaron</t>
        </is>
      </c>
      <c r="N408" s="7" t="inlineStr">
        <is>
          <t>Aprobado</t>
        </is>
      </c>
      <c r="O408" s="5" t="inlineStr">
        <is>
          <t>2026-10-27</t>
        </is>
      </c>
      <c r="P408" s="5" t="inlineStr">
        <is>
          <t>docs/evidencia-final-equipo/serenity-equipo-corrida.txt</t>
        </is>
      </c>
      <c r="Q408" s="5" t="inlineStr">
        <is>
          <t>-</t>
        </is>
      </c>
    </row>
    <row r="409">
      <c r="A409" s="5" t="inlineStr">
        <is>
          <t>Stiven Alejandro Bustamante</t>
        </is>
      </c>
      <c r="B409" s="5" t="inlineStr">
        <is>
          <t>Bolsillos</t>
        </is>
      </c>
      <c r="C409" s="5" t="inlineStr">
        <is>
          <t>HU-24</t>
        </is>
      </c>
      <c r="D409" s="5" t="inlineStr">
        <is>
          <t>Consultar bolsillos</t>
        </is>
      </c>
      <c r="E409" s="5" t="inlineStr">
        <is>
          <t>consultar_bolsillos.feature</t>
        </is>
      </c>
      <c r="F409" s="5" t="inlineStr">
        <is>
          <t>SJ-CONS-04</t>
        </is>
      </c>
      <c r="G409" s="5" t="inlineStr">
        <is>
          <t>Ver en pantalla los bolsillos de la cuenta</t>
        </is>
      </c>
      <c r="H409" s="5" t="inlineStr">
        <is>
          <t>Sistema (E2E)</t>
        </is>
      </c>
      <c r="I409" s="5" t="inlineStr">
        <is>
          <t>Funcional</t>
        </is>
      </c>
      <c r="J409" s="5" t="inlineStr">
        <is>
          <t>Serenity/JS Screenplay + Gherkin</t>
        </is>
      </c>
      <c r="K409" s="5" t="inlineStr">
        <is>
          <t>features/bolsillos/consultar_bolsillos.feature</t>
        </is>
      </c>
      <c r="L409" s="5" t="inlineStr">
        <is>
          <t>ella inició sesión en FuBanking; ella ve los bolsillos:; ella ve el bolsillo "Vacaciones" con 100000; ella ve el bolsillo "Mercado" con 50000</t>
        </is>
      </c>
      <c r="M409" s="5" t="inlineStr">
        <is>
          <t>Todos los pasos pasaron</t>
        </is>
      </c>
      <c r="N409" s="7" t="inlineStr">
        <is>
          <t>Aprobado</t>
        </is>
      </c>
      <c r="O409" s="5" t="inlineStr">
        <is>
          <t>2026-10-27</t>
        </is>
      </c>
      <c r="P409" s="5" t="inlineStr">
        <is>
          <t>docs/evidencia-final-equipo/serenity-equipo-corrida.txt</t>
        </is>
      </c>
      <c r="Q409" s="5" t="inlineStr">
        <is>
          <t>-</t>
        </is>
      </c>
    </row>
    <row r="410">
      <c r="A410" s="5" t="inlineStr">
        <is>
          <t>Stiven Alejandro Bustamante</t>
        </is>
      </c>
      <c r="B410" s="5" t="inlineStr">
        <is>
          <t>Bolsillos</t>
        </is>
      </c>
      <c r="C410" s="5" t="inlineStr">
        <is>
          <t>HU-24</t>
        </is>
      </c>
      <c r="D410" s="5" t="inlineStr">
        <is>
          <t>Consultar bolsillos</t>
        </is>
      </c>
      <c r="E410" s="5" t="inlineStr">
        <is>
          <t>Stagehand</t>
        </is>
      </c>
      <c r="F410" s="5" t="inlineStr">
        <is>
          <t>SH-B02</t>
        </is>
      </c>
      <c r="G410" s="5" t="inlineStr">
        <is>
          <t>La IA lee los bolsillos de la cuenta y descubre las acciones disponibles en cada tarjeta.</t>
        </is>
      </c>
      <c r="H410" s="5" t="inlineStr">
        <is>
          <t>Sistema (E2E con IA)</t>
        </is>
      </c>
      <c r="I410" s="5" t="inlineStr">
        <is>
          <t>Funcional</t>
        </is>
      </c>
      <c r="J410" s="5" t="inlineStr">
        <is>
          <t>Stagehand (google/gemini-3.5-flash)</t>
        </is>
      </c>
      <c r="K410" s="5" t="inlineStr">
        <is>
          <t>e2e/stagehand/src/bolsillos/scenarios.ts</t>
        </is>
      </c>
      <c r="L410" s="5" t="inlineStr">
        <is>
          <t>Extrae "Mercado" 50.000 y "Vacaciones" 100.000, igual que la API, y encuentra Editar y Eliminar.</t>
        </is>
      </c>
      <c r="M410" s="5" t="inlineStr">
        <is>
          <t>4/4 validaciones correctas</t>
        </is>
      </c>
      <c r="N410" s="7" t="inlineStr">
        <is>
          <t>Aprobado</t>
        </is>
      </c>
      <c r="O410" s="5" t="inlineStr">
        <is>
          <t>2026-10-27</t>
        </is>
      </c>
      <c r="P410" s="5" t="inlineStr">
        <is>
          <t>e2e/stagehand/evidence/bolsillos/SH-B02-report.json</t>
        </is>
      </c>
      <c r="Q410" s="5" t="inlineStr">
        <is>
          <t>-</t>
        </is>
      </c>
    </row>
    <row r="411">
      <c r="A411" s="5" t="inlineStr">
        <is>
          <t>Stiven Alejandro Bustamante</t>
        </is>
      </c>
      <c r="B411" s="5" t="inlineStr">
        <is>
          <t>Bolsillos</t>
        </is>
      </c>
      <c r="C411" s="5" t="inlineStr">
        <is>
          <t>HU-24</t>
        </is>
      </c>
      <c r="D411" s="5" t="inlineStr">
        <is>
          <t>Consultar bolsillos</t>
        </is>
      </c>
      <c r="E411" s="5" t="inlineStr">
        <is>
          <t>Vitest backend · regresión</t>
        </is>
      </c>
      <c r="F411" s="5" t="inlineStr">
        <is>
          <t>VT-consultar.regression.test</t>
        </is>
      </c>
      <c r="G411" s="5" t="inlineStr">
        <is>
          <t>consultar.regression.test.ts (11 pruebas)</t>
        </is>
      </c>
      <c r="H411" s="5" t="inlineStr">
        <is>
          <t>Unitaria / Integración</t>
        </is>
      </c>
      <c r="I411" s="5" t="inlineStr">
        <is>
          <t>Funcional</t>
        </is>
      </c>
      <c r="J411" s="5" t="inlineStr">
        <is>
          <t>Vitest backend</t>
        </is>
      </c>
      <c r="K411" s="5" t="inlineStr">
        <is>
          <t>backend/src/tests/regression/pocket/consultar.regression.test.ts</t>
        </is>
      </c>
      <c r="L411" s="5" t="inlineStr">
        <is>
          <t>Todas las pruebas del archivo pasan</t>
        </is>
      </c>
      <c r="M411" s="5" t="inlineStr">
        <is>
          <t>11/11 pasan</t>
        </is>
      </c>
      <c r="N411" s="7" t="inlineStr">
        <is>
          <t>Aprobado</t>
        </is>
      </c>
      <c r="O411" s="5" t="inlineStr">
        <is>
          <t>2026-10-27</t>
        </is>
      </c>
      <c r="P411" s="5" t="inlineStr">
        <is>
          <t>docs/evidencia-final-equipo/vitest-backend.json</t>
        </is>
      </c>
      <c r="Q411" s="5" t="inlineStr">
        <is>
          <t>-</t>
        </is>
      </c>
    </row>
    <row r="412">
      <c r="A412" s="5" t="inlineStr">
        <is>
          <t>Stiven Alejandro Bustamante</t>
        </is>
      </c>
      <c r="B412" s="5" t="inlineStr">
        <is>
          <t>Bolsillos</t>
        </is>
      </c>
      <c r="C412" s="5" t="inlineStr">
        <is>
          <t>HU-24</t>
        </is>
      </c>
      <c r="D412" s="5" t="inlineStr">
        <is>
          <t>Editar bolsillo</t>
        </is>
      </c>
      <c r="E412" s="5" t="inlineStr">
        <is>
          <t>ESC036</t>
        </is>
      </c>
      <c r="F412" s="5" t="inlineStr">
        <is>
          <t>TC-119</t>
        </is>
      </c>
      <c r="G412" s="5" t="inlineStr">
        <is>
          <t>Cambiar solo el nombre</t>
        </is>
      </c>
      <c r="H412" s="5" t="inlineStr">
        <is>
          <t>Unitaria</t>
        </is>
      </c>
      <c r="I412" s="5" t="inlineStr">
        <is>
          <t>Funcional</t>
        </is>
      </c>
      <c r="J412" s="5" t="inlineStr">
        <is>
          <t>Casos del Excel (diseño + ejecución manual)</t>
        </is>
      </c>
      <c r="K412" s="5" t="inlineStr">
        <is>
          <t>Casos y Escenarios FuBank.xlsx</t>
        </is>
      </c>
      <c r="L412" s="5" t="inlineStr">
        <is>
          <t>Se actualiza únicamente el nombre con un valor válido; el sistema guarda el cambio</t>
        </is>
      </c>
      <c r="M412" s="5" t="inlineStr">
        <is>
          <t>Según lo esperado</t>
        </is>
      </c>
      <c r="N412" s="7" t="inlineStr">
        <is>
          <t>Aprobado</t>
        </is>
      </c>
      <c r="O412" s="5" t="inlineStr">
        <is>
          <t>2026-10-10</t>
        </is>
      </c>
      <c r="P412" s="5" t="inlineStr">
        <is>
          <t>Excel (hoja Casos de Prueba Detallado)</t>
        </is>
      </c>
      <c r="Q412" s="5" t="inlineStr">
        <is>
          <t>-</t>
        </is>
      </c>
    </row>
    <row r="413">
      <c r="A413" s="5" t="inlineStr">
        <is>
          <t>Stiven Alejandro Bustamante</t>
        </is>
      </c>
      <c r="B413" s="5" t="inlineStr">
        <is>
          <t>Bolsillos</t>
        </is>
      </c>
      <c r="C413" s="5" t="inlineStr">
        <is>
          <t>HU-24</t>
        </is>
      </c>
      <c r="D413" s="5" t="inlineStr">
        <is>
          <t>Editar bolsillo</t>
        </is>
      </c>
      <c r="E413" s="5" t="inlineStr">
        <is>
          <t>ESC036</t>
        </is>
      </c>
      <c r="F413" s="5" t="inlineStr">
        <is>
          <t>TC-120</t>
        </is>
      </c>
      <c r="G413" s="5" t="inlineStr">
        <is>
          <t>Aumentar el monto con saldo</t>
        </is>
      </c>
      <c r="H413" s="5" t="inlineStr">
        <is>
          <t>Integración</t>
        </is>
      </c>
      <c r="I413" s="5" t="inlineStr">
        <is>
          <t>Funcional</t>
        </is>
      </c>
      <c r="J413" s="5" t="inlineStr">
        <is>
          <t>Casos del Excel (diseño + ejecución manual)</t>
        </is>
      </c>
      <c r="K413" s="5" t="inlineStr">
        <is>
          <t>Casos y Escenarios FuBank.xlsx</t>
        </is>
      </c>
      <c r="L413" s="5" t="inlineStr">
        <is>
          <t>Se aumenta el monto con saldo disponible; el sistema actualiza el bolsillo y descuenta el saldo</t>
        </is>
      </c>
      <c r="M413" s="5" t="inlineStr">
        <is>
          <t>Según lo esperado</t>
        </is>
      </c>
      <c r="N413" s="7" t="inlineStr">
        <is>
          <t>Aprobado</t>
        </is>
      </c>
      <c r="O413" s="5" t="inlineStr">
        <is>
          <t>2026-10-10</t>
        </is>
      </c>
      <c r="P413" s="5" t="inlineStr">
        <is>
          <t>Excel (hoja Casos de Prueba Detallado)</t>
        </is>
      </c>
      <c r="Q413" s="5" t="inlineStr">
        <is>
          <t>-</t>
        </is>
      </c>
    </row>
    <row r="414">
      <c r="A414" s="5" t="inlineStr">
        <is>
          <t>Stiven Alejandro Bustamante</t>
        </is>
      </c>
      <c r="B414" s="5" t="inlineStr">
        <is>
          <t>Bolsillos</t>
        </is>
      </c>
      <c r="C414" s="5" t="inlineStr">
        <is>
          <t>HU-24</t>
        </is>
      </c>
      <c r="D414" s="5" t="inlineStr">
        <is>
          <t>Editar bolsillo</t>
        </is>
      </c>
      <c r="E414" s="5" t="inlineStr">
        <is>
          <t>ESC036</t>
        </is>
      </c>
      <c r="F414" s="5" t="inlineStr">
        <is>
          <t>TC-121</t>
        </is>
      </c>
      <c r="G414" s="5" t="inlineStr">
        <is>
          <t>Reducir el monto</t>
        </is>
      </c>
      <c r="H414" s="5" t="inlineStr">
        <is>
          <t>Integración</t>
        </is>
      </c>
      <c r="I414" s="5" t="inlineStr">
        <is>
          <t>Funcional</t>
        </is>
      </c>
      <c r="J414" s="5" t="inlineStr">
        <is>
          <t>Casos del Excel (diseño + ejecución manual)</t>
        </is>
      </c>
      <c r="K414" s="5" t="inlineStr">
        <is>
          <t>Casos y Escenarios FuBank.xlsx</t>
        </is>
      </c>
      <c r="L414" s="5" t="inlineStr">
        <is>
          <t>Se reduce el monto del bolsillo; el sistema devuelve la diferencia al saldo de la cuenta</t>
        </is>
      </c>
      <c r="M414" s="5" t="inlineStr">
        <is>
          <t>Según lo esperado</t>
        </is>
      </c>
      <c r="N414" s="7" t="inlineStr">
        <is>
          <t>Aprobado</t>
        </is>
      </c>
      <c r="O414" s="5" t="inlineStr">
        <is>
          <t>2026-10-10</t>
        </is>
      </c>
      <c r="P414" s="5" t="inlineStr">
        <is>
          <t>Excel (hoja Casos de Prueba Detallado)</t>
        </is>
      </c>
      <c r="Q414" s="5" t="inlineStr">
        <is>
          <t>-</t>
        </is>
      </c>
    </row>
    <row r="415">
      <c r="A415" s="5" t="inlineStr">
        <is>
          <t>Stiven Alejandro Bustamante</t>
        </is>
      </c>
      <c r="B415" s="5" t="inlineStr">
        <is>
          <t>Bolsillos</t>
        </is>
      </c>
      <c r="C415" s="5" t="inlineStr">
        <is>
          <t>HU-24</t>
        </is>
      </c>
      <c r="D415" s="5" t="inlineStr">
        <is>
          <t>Editar bolsillo</t>
        </is>
      </c>
      <c r="E415" s="5" t="inlineStr">
        <is>
          <t>ESC036</t>
        </is>
      </c>
      <c r="F415" s="5" t="inlineStr">
        <is>
          <t>TC-122</t>
        </is>
      </c>
      <c r="G415" s="5" t="inlineStr">
        <is>
          <t>Cambiar nombre y monto</t>
        </is>
      </c>
      <c r="H415" s="5" t="inlineStr">
        <is>
          <t>Integración</t>
        </is>
      </c>
      <c r="I415" s="5" t="inlineStr">
        <is>
          <t>Funcional</t>
        </is>
      </c>
      <c r="J415" s="5" t="inlineStr">
        <is>
          <t>Casos del Excel (diseño + ejecución manual)</t>
        </is>
      </c>
      <c r="K415" s="5" t="inlineStr">
        <is>
          <t>Casos y Escenarios FuBank.xlsx</t>
        </is>
      </c>
      <c r="L415" s="5" t="inlineStr">
        <is>
          <t>Se actualizan nombre y monto simultáneamente; el sistema guarda ambos cambios</t>
        </is>
      </c>
      <c r="M415" s="5" t="inlineStr">
        <is>
          <t>Según lo esperado</t>
        </is>
      </c>
      <c r="N415" s="7" t="inlineStr">
        <is>
          <t>Aprobado</t>
        </is>
      </c>
      <c r="O415" s="5" t="inlineStr">
        <is>
          <t>2026-10-10</t>
        </is>
      </c>
      <c r="P415" s="5" t="inlineStr">
        <is>
          <t>Excel (hoja Casos de Prueba Detallado)</t>
        </is>
      </c>
      <c r="Q415" s="5" t="inlineStr">
        <is>
          <t>-</t>
        </is>
      </c>
    </row>
    <row r="416">
      <c r="A416" s="5" t="inlineStr">
        <is>
          <t>Stiven Alejandro Bustamante</t>
        </is>
      </c>
      <c r="B416" s="5" t="inlineStr">
        <is>
          <t>Bolsillos</t>
        </is>
      </c>
      <c r="C416" s="5" t="inlineStr">
        <is>
          <t>HU-24</t>
        </is>
      </c>
      <c r="D416" s="5" t="inlineStr">
        <is>
          <t>Editar bolsillo</t>
        </is>
      </c>
      <c r="E416" s="5" t="inlineStr">
        <is>
          <t>ESC036</t>
        </is>
      </c>
      <c r="F416" s="5" t="inlineStr">
        <is>
          <t>TC-123</t>
        </is>
      </c>
      <c r="G416" s="5" t="inlineStr">
        <is>
          <t>Generación de notificación</t>
        </is>
      </c>
      <c r="H416" s="5" t="inlineStr">
        <is>
          <t>Integración</t>
        </is>
      </c>
      <c r="I416" s="5" t="inlineStr">
        <is>
          <t>Funcional</t>
        </is>
      </c>
      <c r="J416" s="5" t="inlineStr">
        <is>
          <t>Casos del Excel (diseño + ejecución manual)</t>
        </is>
      </c>
      <c r="K416" s="5" t="inlineStr">
        <is>
          <t>Casos y Escenarios FuBank.xlsx</t>
        </is>
      </c>
      <c r="L416" s="5" t="inlineStr">
        <is>
          <t>Al actualizar, el sistema registra la notificación "Bolsillo actualizado"</t>
        </is>
      </c>
      <c r="M416" s="5" t="inlineStr">
        <is>
          <t>Según lo esperado</t>
        </is>
      </c>
      <c r="N416" s="7" t="inlineStr">
        <is>
          <t>Aprobado</t>
        </is>
      </c>
      <c r="O416" s="5" t="inlineStr">
        <is>
          <t>2026-10-10</t>
        </is>
      </c>
      <c r="P416" s="5" t="inlineStr">
        <is>
          <t>Excel (hoja Casos de Prueba Detallado)</t>
        </is>
      </c>
      <c r="Q416" s="5" t="inlineStr">
        <is>
          <t>-</t>
        </is>
      </c>
    </row>
    <row r="417">
      <c r="A417" s="5" t="inlineStr">
        <is>
          <t>Stiven Alejandro Bustamante</t>
        </is>
      </c>
      <c r="B417" s="5" t="inlineStr">
        <is>
          <t>Bolsillos</t>
        </is>
      </c>
      <c r="C417" s="5" t="inlineStr">
        <is>
          <t>HU-24</t>
        </is>
      </c>
      <c r="D417" s="5" t="inlineStr">
        <is>
          <t>Editar bolsillo</t>
        </is>
      </c>
      <c r="E417" s="5" t="inlineStr">
        <is>
          <t>ESC037</t>
        </is>
      </c>
      <c r="F417" s="5" t="inlineStr">
        <is>
          <t>TC-124</t>
        </is>
      </c>
      <c r="G417" s="5" t="inlineStr">
        <is>
          <t>Aumento sin saldo suficiente</t>
        </is>
      </c>
      <c r="H417" s="5" t="inlineStr">
        <is>
          <t>Integración</t>
        </is>
      </c>
      <c r="I417" s="5" t="inlineStr">
        <is>
          <t>Funcional</t>
        </is>
      </c>
      <c r="J417" s="5" t="inlineStr">
        <is>
          <t>Casos del Excel (diseño + ejecución manual)</t>
        </is>
      </c>
      <c r="K417" s="5" t="inlineStr">
        <is>
          <t>Casos y Escenarios FuBank.xlsx</t>
        </is>
      </c>
      <c r="L417" s="5" t="inlineStr">
        <is>
          <t>Se aumenta el monto por encima del saldo disponible; el sistema lo rechaza (INSUFFICIENT_AVAILABLE_BALANCE)</t>
        </is>
      </c>
      <c r="M417" s="5" t="inlineStr">
        <is>
          <t>Según lo esperado</t>
        </is>
      </c>
      <c r="N417" s="7" t="inlineStr">
        <is>
          <t>Aprobado</t>
        </is>
      </c>
      <c r="O417" s="5" t="inlineStr">
        <is>
          <t>2026-10-10</t>
        </is>
      </c>
      <c r="P417" s="5" t="inlineStr">
        <is>
          <t>Excel (hoja Casos de Prueba Detallado)</t>
        </is>
      </c>
      <c r="Q417" s="5" t="inlineStr">
        <is>
          <t>-</t>
        </is>
      </c>
    </row>
    <row r="418">
      <c r="A418" s="5" t="inlineStr">
        <is>
          <t>Stiven Alejandro Bustamante</t>
        </is>
      </c>
      <c r="B418" s="5" t="inlineStr">
        <is>
          <t>Bolsillos</t>
        </is>
      </c>
      <c r="C418" s="5" t="inlineStr">
        <is>
          <t>HU-24</t>
        </is>
      </c>
      <c r="D418" s="5" t="inlineStr">
        <is>
          <t>Editar bolsillo</t>
        </is>
      </c>
      <c r="E418" s="5" t="inlineStr">
        <is>
          <t>ESC037</t>
        </is>
      </c>
      <c r="F418" s="5" t="inlineStr">
        <is>
          <t>TC-125</t>
        </is>
      </c>
      <c r="G418" s="5" t="inlineStr">
        <is>
          <t>Monto negativo</t>
        </is>
      </c>
      <c r="H418" s="5" t="inlineStr">
        <is>
          <t>Unitaria</t>
        </is>
      </c>
      <c r="I418" s="5" t="inlineStr">
        <is>
          <t>Funcional</t>
        </is>
      </c>
      <c r="J418" s="5" t="inlineStr">
        <is>
          <t>Casos del Excel (diseño + ejecución manual)</t>
        </is>
      </c>
      <c r="K418" s="5" t="inlineStr">
        <is>
          <t>Casos y Escenarios FuBank.xlsx</t>
        </is>
      </c>
      <c r="L418" s="5" t="inlineStr">
        <is>
          <t>Se actualiza con monto negativo; el sistema lo rechaza (INVALID_POCKET_AMOUNT)</t>
        </is>
      </c>
      <c r="M418" s="5" t="inlineStr">
        <is>
          <t>Según lo esperado</t>
        </is>
      </c>
      <c r="N418" s="7" t="inlineStr">
        <is>
          <t>Aprobado</t>
        </is>
      </c>
      <c r="O418" s="5" t="inlineStr">
        <is>
          <t>2026-10-10</t>
        </is>
      </c>
      <c r="P418" s="5" t="inlineStr">
        <is>
          <t>Excel (hoja Casos de Prueba Detallado)</t>
        </is>
      </c>
      <c r="Q418" s="5" t="inlineStr">
        <is>
          <t>-</t>
        </is>
      </c>
    </row>
    <row r="419">
      <c r="A419" s="5" t="inlineStr">
        <is>
          <t>Stiven Alejandro Bustamante</t>
        </is>
      </c>
      <c r="B419" s="5" t="inlineStr">
        <is>
          <t>Bolsillos</t>
        </is>
      </c>
      <c r="C419" s="5" t="inlineStr">
        <is>
          <t>HU-24</t>
        </is>
      </c>
      <c r="D419" s="5" t="inlineStr">
        <is>
          <t>Editar bolsillo</t>
        </is>
      </c>
      <c r="E419" s="5" t="inlineStr">
        <is>
          <t>ESC037</t>
        </is>
      </c>
      <c r="F419" s="5" t="inlineStr">
        <is>
          <t>TC-126</t>
        </is>
      </c>
      <c r="G419" s="5" t="inlineStr">
        <is>
          <t>Nombre vacío</t>
        </is>
      </c>
      <c r="H419" s="5" t="inlineStr">
        <is>
          <t>Unitaria</t>
        </is>
      </c>
      <c r="I419" s="5" t="inlineStr">
        <is>
          <t>Funcional</t>
        </is>
      </c>
      <c r="J419" s="5" t="inlineStr">
        <is>
          <t>Casos del Excel (diseño + ejecución manual)</t>
        </is>
      </c>
      <c r="K419" s="5" t="inlineStr">
        <is>
          <t>Casos y Escenarios FuBank.xlsx</t>
        </is>
      </c>
      <c r="L419" s="5" t="inlineStr">
        <is>
          <t>Se actualiza con nombre vacío; el sistema lo rechaza (INVALID_POCKET_NAME)</t>
        </is>
      </c>
      <c r="M419" s="5" t="inlineStr">
        <is>
          <t>Según lo esperado</t>
        </is>
      </c>
      <c r="N419" s="7" t="inlineStr">
        <is>
          <t>Aprobado</t>
        </is>
      </c>
      <c r="O419" s="5" t="inlineStr">
        <is>
          <t>2026-10-10</t>
        </is>
      </c>
      <c r="P419" s="5" t="inlineStr">
        <is>
          <t>Excel (hoja Casos de Prueba Detallado)</t>
        </is>
      </c>
      <c r="Q419" s="5" t="inlineStr">
        <is>
          <t>-</t>
        </is>
      </c>
    </row>
    <row r="420">
      <c r="A420" s="5" t="inlineStr">
        <is>
          <t>Stiven Alejandro Bustamante</t>
        </is>
      </c>
      <c r="B420" s="5" t="inlineStr">
        <is>
          <t>Bolsillos</t>
        </is>
      </c>
      <c r="C420" s="5" t="inlineStr">
        <is>
          <t>HU-24</t>
        </is>
      </c>
      <c r="D420" s="5" t="inlineStr">
        <is>
          <t>Editar bolsillo</t>
        </is>
      </c>
      <c r="E420" s="5" t="inlineStr">
        <is>
          <t>ESC037</t>
        </is>
      </c>
      <c r="F420" s="5" t="inlineStr">
        <is>
          <t>TC-127</t>
        </is>
      </c>
      <c r="G420" s="5" t="inlineStr">
        <is>
          <t>Bolsillo inexistente</t>
        </is>
      </c>
      <c r="H420" s="5" t="inlineStr">
        <is>
          <t>Unitaria</t>
        </is>
      </c>
      <c r="I420" s="5" t="inlineStr">
        <is>
          <t>Funcional</t>
        </is>
      </c>
      <c r="J420" s="5" t="inlineStr">
        <is>
          <t>Casos del Excel (diseño + ejecución manual)</t>
        </is>
      </c>
      <c r="K420" s="5" t="inlineStr">
        <is>
          <t>Casos y Escenarios FuBank.xlsx</t>
        </is>
      </c>
      <c r="L420" s="5" t="inlineStr">
        <is>
          <t>Se intenta actualizar un pocketId inexistente; el sistema responde POCKET_NOT_FOUND</t>
        </is>
      </c>
      <c r="M420" s="5" t="inlineStr">
        <is>
          <t>Según lo esperado</t>
        </is>
      </c>
      <c r="N420" s="7" t="inlineStr">
        <is>
          <t>Aprobado</t>
        </is>
      </c>
      <c r="O420" s="5" t="inlineStr">
        <is>
          <t>2026-10-10</t>
        </is>
      </c>
      <c r="P420" s="5" t="inlineStr">
        <is>
          <t>Excel (hoja Casos de Prueba Detallado)</t>
        </is>
      </c>
      <c r="Q420" s="5" t="inlineStr">
        <is>
          <t>-</t>
        </is>
      </c>
    </row>
    <row r="421">
      <c r="A421" s="5" t="inlineStr">
        <is>
          <t>Stiven Alejandro Bustamante</t>
        </is>
      </c>
      <c r="B421" s="5" t="inlineStr">
        <is>
          <t>Bolsillos</t>
        </is>
      </c>
      <c r="C421" s="5" t="inlineStr">
        <is>
          <t>HU-24</t>
        </is>
      </c>
      <c r="D421" s="5" t="inlineStr">
        <is>
          <t>Editar bolsillo</t>
        </is>
      </c>
      <c r="E421" s="5" t="inlineStr">
        <is>
          <t>editar_bolsillo.feature</t>
        </is>
      </c>
      <c r="F421" s="5" t="inlineStr">
        <is>
          <t>CY-EDIT-01</t>
        </is>
      </c>
      <c r="G421" s="5" t="inlineStr">
        <is>
          <t>Renombrar un bolsillo conserva su saldo</t>
        </is>
      </c>
      <c r="H421" s="5" t="inlineStr">
        <is>
          <t>Integración (API)</t>
        </is>
      </c>
      <c r="I421" s="5" t="inlineStr">
        <is>
          <t>Funcional</t>
        </is>
      </c>
      <c r="J421" s="5" t="inlineStr">
        <is>
          <t>Cypress + Gherkin (Bolsillos)</t>
        </is>
      </c>
      <c r="K421" s="5" t="inlineStr">
        <is>
          <t>e2e/serenity/features/bolsillos/editar_bolsillo.feature</t>
        </is>
      </c>
      <c r="L421" s="5" t="inlineStr">
        <is>
          <t>ella tiene el bolsillo "Vacaciones" con 100000; la respuesta HTTP tiene estado 200; su bolsillo "Viaje a Cartagena" tiene 100000</t>
        </is>
      </c>
      <c r="M421" s="5" t="inlineStr">
        <is>
          <t>Todos los pasos pasaron</t>
        </is>
      </c>
      <c r="N421" s="7" t="inlineStr">
        <is>
          <t>Aprobado</t>
        </is>
      </c>
      <c r="O421" s="5" t="inlineStr">
        <is>
          <t>2026-10-27</t>
        </is>
      </c>
      <c r="P421" s="5" t="inlineStr">
        <is>
          <t>docs/evidencia-cypress-bolsillos/despues/cucumber-report.html</t>
        </is>
      </c>
      <c r="Q421" s="5" t="inlineStr">
        <is>
          <t>-</t>
        </is>
      </c>
    </row>
    <row r="422">
      <c r="A422" s="5" t="inlineStr">
        <is>
          <t>Stiven Alejandro Bustamante</t>
        </is>
      </c>
      <c r="B422" s="5" t="inlineStr">
        <is>
          <t>Bolsillos</t>
        </is>
      </c>
      <c r="C422" s="5" t="inlineStr">
        <is>
          <t>HU-24</t>
        </is>
      </c>
      <c r="D422" s="5" t="inlineStr">
        <is>
          <t>Editar bolsillo</t>
        </is>
      </c>
      <c r="E422" s="5" t="inlineStr">
        <is>
          <t>editar_bolsillo.feature</t>
        </is>
      </c>
      <c r="F422" s="5" t="inlineStr">
        <is>
          <t>CY-EDIT-02</t>
        </is>
      </c>
      <c r="G422" s="5" t="inlineStr">
        <is>
          <t>Aumentar el monto de un bolsillo descuenta la diferencia de la cuenta</t>
        </is>
      </c>
      <c r="H422" s="5" t="inlineStr">
        <is>
          <t>Integración (API)</t>
        </is>
      </c>
      <c r="I422" s="5" t="inlineStr">
        <is>
          <t>Funcional</t>
        </is>
      </c>
      <c r="J422" s="5" t="inlineStr">
        <is>
          <t>Cypress + Gherkin (Bolsillos)</t>
        </is>
      </c>
      <c r="K422" s="5" t="inlineStr">
        <is>
          <t>e2e/serenity/features/bolsillos/editar_bolsillo.feature</t>
        </is>
      </c>
      <c r="L422" s="5" t="inlineStr">
        <is>
          <t>ella tiene el bolsillo "Vacaciones" con 100000; la respuesta HTTP tiene estado 200; su bolsillo "Vacaciones" tiene 150000; el saldo de su cuenta es 350000</t>
        </is>
      </c>
      <c r="M422" s="5" t="inlineStr">
        <is>
          <t>Todos los pasos pasaron</t>
        </is>
      </c>
      <c r="N422" s="7" t="inlineStr">
        <is>
          <t>Aprobado</t>
        </is>
      </c>
      <c r="O422" s="5" t="inlineStr">
        <is>
          <t>2026-10-27</t>
        </is>
      </c>
      <c r="P422" s="5" t="inlineStr">
        <is>
          <t>docs/evidencia-cypress-bolsillos/despues/cucumber-report.html</t>
        </is>
      </c>
      <c r="Q422" s="5" t="inlineStr">
        <is>
          <t>-</t>
        </is>
      </c>
    </row>
    <row r="423">
      <c r="A423" s="5" t="inlineStr">
        <is>
          <t>Stiven Alejandro Bustamante</t>
        </is>
      </c>
      <c r="B423" s="5" t="inlineStr">
        <is>
          <t>Bolsillos</t>
        </is>
      </c>
      <c r="C423" s="5" t="inlineStr">
        <is>
          <t>HU-24</t>
        </is>
      </c>
      <c r="D423" s="5" t="inlineStr">
        <is>
          <t>Editar bolsillo</t>
        </is>
      </c>
      <c r="E423" s="5" t="inlineStr">
        <is>
          <t>editar_bolsillo.feature</t>
        </is>
      </c>
      <c r="F423" s="5" t="inlineStr">
        <is>
          <t>CY-EDIT-03</t>
        </is>
      </c>
      <c r="G423" s="5" t="inlineStr">
        <is>
          <t>Disminuir el monto de un bolsillo devuelve la diferencia a la cuenta</t>
        </is>
      </c>
      <c r="H423" s="5" t="inlineStr">
        <is>
          <t>Integración (API)</t>
        </is>
      </c>
      <c r="I423" s="5" t="inlineStr">
        <is>
          <t>Funcional</t>
        </is>
      </c>
      <c r="J423" s="5" t="inlineStr">
        <is>
          <t>Cypress + Gherkin (Bolsillos)</t>
        </is>
      </c>
      <c r="K423" s="5" t="inlineStr">
        <is>
          <t>e2e/serenity/features/bolsillos/editar_bolsillo.feature</t>
        </is>
      </c>
      <c r="L423" s="5" t="inlineStr">
        <is>
          <t>ella tiene el bolsillo "Vacaciones" con 100000; la respuesta HTTP tiene estado 200; su bolsillo "Vacaciones" tiene 40000; el saldo de su cuenta es 460000</t>
        </is>
      </c>
      <c r="M423" s="5" t="inlineStr">
        <is>
          <t>Todos los pasos pasaron</t>
        </is>
      </c>
      <c r="N423" s="7" t="inlineStr">
        <is>
          <t>Aprobado</t>
        </is>
      </c>
      <c r="O423" s="5" t="inlineStr">
        <is>
          <t>2026-10-27</t>
        </is>
      </c>
      <c r="P423" s="5" t="inlineStr">
        <is>
          <t>docs/evidencia-cypress-bolsillos/despues/cucumber-report.html</t>
        </is>
      </c>
      <c r="Q423" s="5" t="inlineStr">
        <is>
          <t>-</t>
        </is>
      </c>
    </row>
    <row r="424">
      <c r="A424" s="5" t="inlineStr">
        <is>
          <t>Stiven Alejandro Bustamante</t>
        </is>
      </c>
      <c r="B424" s="5" t="inlineStr">
        <is>
          <t>Bolsillos</t>
        </is>
      </c>
      <c r="C424" s="5" t="inlineStr">
        <is>
          <t>HU-24</t>
        </is>
      </c>
      <c r="D424" s="5" t="inlineStr">
        <is>
          <t>Editar bolsillo</t>
        </is>
      </c>
      <c r="E424" s="5" t="inlineStr">
        <is>
          <t>editar_bolsillo.feature</t>
        </is>
      </c>
      <c r="F424" s="5" t="inlineStr">
        <is>
          <t>CY-EDIT-04</t>
        </is>
      </c>
      <c r="G424" s="5" t="inlineStr">
        <is>
          <t>No se puede ajustar un bolsillo por encima del dinero total</t>
        </is>
      </c>
      <c r="H424" s="5" t="inlineStr">
        <is>
          <t>Integración (API)</t>
        </is>
      </c>
      <c r="I424" s="5" t="inlineStr">
        <is>
          <t>Funcional</t>
        </is>
      </c>
      <c r="J424" s="5" t="inlineStr">
        <is>
          <t>Cypress + Gherkin (Bolsillos)</t>
        </is>
      </c>
      <c r="K424" s="5" t="inlineStr">
        <is>
          <t>e2e/serenity/features/bolsillos/editar_bolsillo.feature</t>
        </is>
      </c>
      <c r="L424" s="5" t="inlineStr">
        <is>
          <t>ella tiene el bolsillo "Vacaciones" con 100000; la respuesta HTTP tiene estado 400; el código de error es "INSUFFICIENT_AVAILABLE_BALANCE"; el saldo de su cuenta es 400000</t>
        </is>
      </c>
      <c r="M424" s="5" t="inlineStr">
        <is>
          <t>Todos los pasos pasaron</t>
        </is>
      </c>
      <c r="N424" s="7" t="inlineStr">
        <is>
          <t>Aprobado</t>
        </is>
      </c>
      <c r="O424" s="5" t="inlineStr">
        <is>
          <t>2026-10-27</t>
        </is>
      </c>
      <c r="P424" s="5" t="inlineStr">
        <is>
          <t>docs/evidencia-cypress-bolsillos/despues/cucumber-report.html</t>
        </is>
      </c>
      <c r="Q424" s="5" t="inlineStr">
        <is>
          <t>-</t>
        </is>
      </c>
    </row>
    <row r="425">
      <c r="A425" s="5" t="inlineStr">
        <is>
          <t>Stiven Alejandro Bustamante</t>
        </is>
      </c>
      <c r="B425" s="5" t="inlineStr">
        <is>
          <t>Bolsillos</t>
        </is>
      </c>
      <c r="C425" s="5" t="inlineStr">
        <is>
          <t>HU-24</t>
        </is>
      </c>
      <c r="D425" s="5" t="inlineStr">
        <is>
          <t>Editar bolsillo</t>
        </is>
      </c>
      <c r="E425" s="5" t="inlineStr">
        <is>
          <t>editar_bolsillo.feature</t>
        </is>
      </c>
      <c r="F425" s="5" t="inlineStr">
        <is>
          <t>CY-EDIT-05</t>
        </is>
      </c>
      <c r="G425" s="5" t="inlineStr">
        <is>
          <t>Renombrar un bolsillo desde la pantalla</t>
        </is>
      </c>
      <c r="H425" s="5" t="inlineStr">
        <is>
          <t>Sistema (E2E)</t>
        </is>
      </c>
      <c r="I425" s="5" t="inlineStr">
        <is>
          <t>Funcional</t>
        </is>
      </c>
      <c r="J425" s="5" t="inlineStr">
        <is>
          <t>Cypress + Gherkin (Bolsillos)</t>
        </is>
      </c>
      <c r="K425" s="5" t="inlineStr">
        <is>
          <t>e2e/serenity/features/bolsillos/editar_bolsillo.feature</t>
        </is>
      </c>
      <c r="L425" s="5" t="inlineStr">
        <is>
          <t>ella tiene el bolsillo "Vacaciones" con 100000; ella ve la notificación "Bolsillo actualizado"; ella ve el bolsillo "Viaje a Cartagena" con 100000</t>
        </is>
      </c>
      <c r="M425" s="5" t="inlineStr">
        <is>
          <t>Todos los pasos pasaron</t>
        </is>
      </c>
      <c r="N425" s="7" t="inlineStr">
        <is>
          <t>Aprobado</t>
        </is>
      </c>
      <c r="O425" s="5" t="inlineStr">
        <is>
          <t>2026-10-27</t>
        </is>
      </c>
      <c r="P425" s="5" t="inlineStr">
        <is>
          <t>docs/evidencia-cypress-bolsillos/despues/cucumber-report.html</t>
        </is>
      </c>
      <c r="Q425" s="5" t="inlineStr">
        <is>
          <t>-</t>
        </is>
      </c>
    </row>
    <row r="426">
      <c r="A426" s="5" t="inlineStr">
        <is>
          <t>Stiven Alejandro Bustamante</t>
        </is>
      </c>
      <c r="B426" s="5" t="inlineStr">
        <is>
          <t>Bolsillos</t>
        </is>
      </c>
      <c r="C426" s="5" t="inlineStr">
        <is>
          <t>HU-24</t>
        </is>
      </c>
      <c r="D426" s="5" t="inlineStr">
        <is>
          <t>Editar bolsillo</t>
        </is>
      </c>
      <c r="E426" s="5" t="inlineStr">
        <is>
          <t>test-set-0</t>
        </is>
      </c>
      <c r="F426" s="5" t="inlineStr">
        <is>
          <t>KP-patch-api-v1-pockets-by-id-1</t>
        </is>
      </c>
      <c r="G426" s="5" t="inlineStr">
        <is>
          <t>patch-api-v1-pockets-by-id-1</t>
        </is>
      </c>
      <c r="H426" s="5" t="inlineStr">
        <is>
          <t>Integración (API, mocks de Supabase)</t>
        </is>
      </c>
      <c r="I426" s="5" t="inlineStr">
        <is>
          <t>Regresión</t>
        </is>
      </c>
      <c r="J426" s="5" t="inlineStr">
        <is>
          <t>IA · Keploy (Alejandro)</t>
        </is>
      </c>
      <c r="K426" s="5" t="inlineStr">
        <is>
          <t>03-keploy/evidence/test-set-0-saneado/tests/patch-api-v1-pockets-by-id-1.yaml</t>
        </is>
      </c>
      <c r="L426" s="5" t="inlineStr">
        <is>
          <t>Respuesta igual a la grabada (ruido: token, id, Etag)</t>
        </is>
      </c>
      <c r="M426" s="5" t="inlineStr">
        <is>
          <t>Reproducido igual a lo grabado</t>
        </is>
      </c>
      <c r="N426" s="7" t="inlineStr">
        <is>
          <t>Aprobado</t>
        </is>
      </c>
      <c r="O426" s="5" t="inlineStr">
        <is>
          <t>2026-10-27</t>
        </is>
      </c>
      <c r="P426" s="5" t="inlineStr">
        <is>
          <t>03-keploy/evidence/02-replay-con-ruido-50-de-50.txt</t>
        </is>
      </c>
      <c r="Q426" s="5" t="inlineStr">
        <is>
          <t>-</t>
        </is>
      </c>
    </row>
    <row r="427">
      <c r="A427" s="5" t="inlineStr">
        <is>
          <t>Stiven Alejandro Bustamante</t>
        </is>
      </c>
      <c r="B427" s="5" t="inlineStr">
        <is>
          <t>Bolsillos</t>
        </is>
      </c>
      <c r="C427" s="5" t="inlineStr">
        <is>
          <t>HU-24</t>
        </is>
      </c>
      <c r="D427" s="5" t="inlineStr">
        <is>
          <t>Editar bolsillo</t>
        </is>
      </c>
      <c r="E427" s="5" t="inlineStr">
        <is>
          <t>test-set-0</t>
        </is>
      </c>
      <c r="F427" s="5" t="inlineStr">
        <is>
          <t>KP-patch-api-v1-pockets-by-id-2</t>
        </is>
      </c>
      <c r="G427" s="5" t="inlineStr">
        <is>
          <t>patch-api-v1-pockets-by-id-2</t>
        </is>
      </c>
      <c r="H427" s="5" t="inlineStr">
        <is>
          <t>Integración (API, mocks de Supabase)</t>
        </is>
      </c>
      <c r="I427" s="5" t="inlineStr">
        <is>
          <t>Regresión</t>
        </is>
      </c>
      <c r="J427" s="5" t="inlineStr">
        <is>
          <t>IA · Keploy (Alejandro)</t>
        </is>
      </c>
      <c r="K427" s="5" t="inlineStr">
        <is>
          <t>03-keploy/evidence/test-set-0-saneado/tests/patch-api-v1-pockets-by-id-2.yaml</t>
        </is>
      </c>
      <c r="L427" s="5" t="inlineStr">
        <is>
          <t>Respuesta igual a la grabada (ruido: token, id, Etag)</t>
        </is>
      </c>
      <c r="M427" s="5" t="inlineStr">
        <is>
          <t>Reproducido igual a lo grabado</t>
        </is>
      </c>
      <c r="N427" s="7" t="inlineStr">
        <is>
          <t>Aprobado</t>
        </is>
      </c>
      <c r="O427" s="5" t="inlineStr">
        <is>
          <t>2026-10-27</t>
        </is>
      </c>
      <c r="P427" s="5" t="inlineStr">
        <is>
          <t>03-keploy/evidence/02-replay-con-ruido-50-de-50.txt</t>
        </is>
      </c>
      <c r="Q427" s="5" t="inlineStr">
        <is>
          <t>-</t>
        </is>
      </c>
    </row>
    <row r="428">
      <c r="A428" s="5" t="inlineStr">
        <is>
          <t>Stiven Alejandro Bustamante</t>
        </is>
      </c>
      <c r="B428" s="5" t="inlineStr">
        <is>
          <t>Bolsillos</t>
        </is>
      </c>
      <c r="C428" s="5" t="inlineStr">
        <is>
          <t>HU-24</t>
        </is>
      </c>
      <c r="D428" s="5" t="inlineStr">
        <is>
          <t>Editar bolsillo</t>
        </is>
      </c>
      <c r="E428" s="5" t="inlineStr">
        <is>
          <t>test-set-0</t>
        </is>
      </c>
      <c r="F428" s="5" t="inlineStr">
        <is>
          <t>KP-patch-api-v1-pockets-by-id-3</t>
        </is>
      </c>
      <c r="G428" s="5" t="inlineStr">
        <is>
          <t>patch-api-v1-pockets-by-id-3</t>
        </is>
      </c>
      <c r="H428" s="5" t="inlineStr">
        <is>
          <t>Integración (API, mocks de Supabase)</t>
        </is>
      </c>
      <c r="I428" s="5" t="inlineStr">
        <is>
          <t>Regresión</t>
        </is>
      </c>
      <c r="J428" s="5" t="inlineStr">
        <is>
          <t>IA · Keploy (Alejandro)</t>
        </is>
      </c>
      <c r="K428" s="5" t="inlineStr">
        <is>
          <t>03-keploy/evidence/test-set-0-saneado/tests/patch-api-v1-pockets-by-id-3.yaml</t>
        </is>
      </c>
      <c r="L428" s="5" t="inlineStr">
        <is>
          <t>Respuesta igual a la grabada (ruido: token, id, Etag)</t>
        </is>
      </c>
      <c r="M428" s="5" t="inlineStr">
        <is>
          <t>Reproducido igual a lo grabado</t>
        </is>
      </c>
      <c r="N428" s="7" t="inlineStr">
        <is>
          <t>Aprobado</t>
        </is>
      </c>
      <c r="O428" s="5" t="inlineStr">
        <is>
          <t>2026-10-27</t>
        </is>
      </c>
      <c r="P428" s="5" t="inlineStr">
        <is>
          <t>03-keploy/evidence/02-replay-con-ruido-50-de-50.txt</t>
        </is>
      </c>
      <c r="Q428" s="5" t="inlineStr">
        <is>
          <t>-</t>
        </is>
      </c>
    </row>
    <row r="429">
      <c r="A429" s="5" t="inlineStr">
        <is>
          <t>Stiven Alejandro Bustamante</t>
        </is>
      </c>
      <c r="B429" s="5" t="inlineStr">
        <is>
          <t>Bolsillos</t>
        </is>
      </c>
      <c r="C429" s="5" t="inlineStr">
        <is>
          <t>HU-24</t>
        </is>
      </c>
      <c r="D429" s="5" t="inlineStr">
        <is>
          <t>Editar bolsillo</t>
        </is>
      </c>
      <c r="E429" s="5" t="inlineStr">
        <is>
          <t>editar-bolsillo.spec.ts</t>
        </is>
      </c>
      <c r="F429" s="5" t="inlineStr">
        <is>
          <t>PW-EDI-01</t>
        </is>
      </c>
      <c r="G429" s="5" t="inlineStr">
        <is>
          <t>EDI-01 · Editar nombre y monto de un bolsillo actualiza la tarjeta y ajusta el saldo</t>
        </is>
      </c>
      <c r="H429" s="5" t="inlineStr">
        <is>
          <t>Sistema (E2E)</t>
        </is>
      </c>
      <c r="I429" s="5" t="inlineStr">
        <is>
          <t>Funcional</t>
        </is>
      </c>
      <c r="J429" s="5" t="inlineStr">
        <is>
          <t>IA · Playwright Test Agents (Alejandro)</t>
        </is>
      </c>
      <c r="K429" s="5" t="inlineStr">
        <is>
          <t>herramientas-alejandro/01-playwright-test-agents/tests/editar-bolsillo.spec.ts</t>
        </is>
      </c>
      <c r="L429" s="5" t="inlineStr">
        <is>
          <t>Según specs/bolsillos-depositar.md</t>
        </is>
      </c>
      <c r="M429" s="5" t="inlineStr">
        <is>
          <t>Pasó</t>
        </is>
      </c>
      <c r="N429" s="7" t="inlineStr">
        <is>
          <t>Aprobado</t>
        </is>
      </c>
      <c r="O429" s="5" t="inlineStr">
        <is>
          <t>2026-10-27</t>
        </is>
      </c>
      <c r="P429" s="5" t="inlineStr">
        <is>
          <t>herramientas-alejandro/01-playwright-test-agents/evidence/html-report</t>
        </is>
      </c>
      <c r="Q429" s="5" t="inlineStr">
        <is>
          <t>-</t>
        </is>
      </c>
    </row>
    <row r="430">
      <c r="A430" s="5" t="inlineStr">
        <is>
          <t>Stiven Alejandro Bustamante</t>
        </is>
      </c>
      <c r="B430" s="5" t="inlineStr">
        <is>
          <t>Bolsillos</t>
        </is>
      </c>
      <c r="C430" s="5" t="inlineStr">
        <is>
          <t>HU-24</t>
        </is>
      </c>
      <c r="D430" s="5" t="inlineStr">
        <is>
          <t>Editar bolsillo</t>
        </is>
      </c>
      <c r="E430" s="5" t="inlineStr">
        <is>
          <t>editar-bolsillo.spec.ts</t>
        </is>
      </c>
      <c r="F430" s="5" t="inlineStr">
        <is>
          <t>PW-EDI-02</t>
        </is>
      </c>
      <c r="G430" s="5" t="inlineStr">
        <is>
          <t>EDI-02 · Editar con nombre vacío o con un monto mayor al disponible es rechazado sin modificar nada</t>
        </is>
      </c>
      <c r="H430" s="5" t="inlineStr">
        <is>
          <t>Sistema (E2E)</t>
        </is>
      </c>
      <c r="I430" s="5" t="inlineStr">
        <is>
          <t>Funcional</t>
        </is>
      </c>
      <c r="J430" s="5" t="inlineStr">
        <is>
          <t>IA · Playwright Test Agents (Alejandro)</t>
        </is>
      </c>
      <c r="K430" s="5" t="inlineStr">
        <is>
          <t>herramientas-alejandro/01-playwright-test-agents/tests/editar-bolsillo.spec.ts</t>
        </is>
      </c>
      <c r="L430" s="5" t="inlineStr">
        <is>
          <t>Según specs/bolsillos-depositar.md</t>
        </is>
      </c>
      <c r="M430" s="5" t="inlineStr">
        <is>
          <t>Pasó</t>
        </is>
      </c>
      <c r="N430" s="7" t="inlineStr">
        <is>
          <t>Aprobado</t>
        </is>
      </c>
      <c r="O430" s="5" t="inlineStr">
        <is>
          <t>2026-10-27</t>
        </is>
      </c>
      <c r="P430" s="5" t="inlineStr">
        <is>
          <t>herramientas-alejandro/01-playwright-test-agents/evidence/html-report</t>
        </is>
      </c>
      <c r="Q430" s="5" t="inlineStr">
        <is>
          <t>-</t>
        </is>
      </c>
    </row>
    <row r="431">
      <c r="A431" s="5" t="inlineStr">
        <is>
          <t>Stiven Alejandro Bustamante</t>
        </is>
      </c>
      <c r="B431" s="5" t="inlineStr">
        <is>
          <t>Bolsillos</t>
        </is>
      </c>
      <c r="C431" s="5" t="inlineStr">
        <is>
          <t>HU-24</t>
        </is>
      </c>
      <c r="D431" s="5" t="inlineStr">
        <is>
          <t>Editar bolsillo</t>
        </is>
      </c>
      <c r="E431" s="5" t="inlineStr">
        <is>
          <t>03 Editar bolsillo</t>
        </is>
      </c>
      <c r="F431" s="5" t="inlineStr">
        <is>
          <t>PM-ED-01</t>
        </is>
      </c>
      <c r="G431" s="5" t="inlineStr">
        <is>
          <t>Renombrar "Vacaciones" a "Viaje a Cartagena"</t>
        </is>
      </c>
      <c r="H431" s="5" t="inlineStr">
        <is>
          <t>Integración (API)</t>
        </is>
      </c>
      <c r="I431" s="5" t="inlineStr">
        <is>
          <t>Funcional</t>
        </is>
      </c>
      <c r="J431" s="5" t="inlineStr">
        <is>
          <t>IA · Postman + Newman (Alejandro)</t>
        </is>
      </c>
      <c r="K431" s="5" t="inlineStr">
        <is>
          <t>herramientas-alejandro/02-postman-postbot</t>
        </is>
      </c>
      <c r="L431" s="5" t="inlineStr">
        <is>
          <t>Ver descripción del request</t>
        </is>
      </c>
      <c r="M431" s="5" t="inlineStr">
        <is>
          <t>4/4 aserciones</t>
        </is>
      </c>
      <c r="N431" s="7" t="inlineStr">
        <is>
          <t>Aprobado</t>
        </is>
      </c>
      <c r="O431" s="5" t="inlineStr">
        <is>
          <t>2026-10-27</t>
        </is>
      </c>
      <c r="P431" s="5" t="inlineStr">
        <is>
          <t>02-postman-postbot/evidence/newman-report.html</t>
        </is>
      </c>
      <c r="Q431" s="5" t="inlineStr">
        <is>
          <t>-</t>
        </is>
      </c>
    </row>
    <row r="432">
      <c r="A432" s="5" t="inlineStr">
        <is>
          <t>Stiven Alejandro Bustamante</t>
        </is>
      </c>
      <c r="B432" s="5" t="inlineStr">
        <is>
          <t>Bolsillos</t>
        </is>
      </c>
      <c r="C432" s="5" t="inlineStr">
        <is>
          <t>HU-24</t>
        </is>
      </c>
      <c r="D432" s="5" t="inlineStr">
        <is>
          <t>Editar bolsillo</t>
        </is>
      </c>
      <c r="E432" s="5" t="inlineStr">
        <is>
          <t>03 Editar bolsillo</t>
        </is>
      </c>
      <c r="F432" s="5" t="inlineStr">
        <is>
          <t>PM-ED-02</t>
        </is>
      </c>
      <c r="G432" s="5" t="inlineStr">
        <is>
          <t>Aumentar el monto a 150.000</t>
        </is>
      </c>
      <c r="H432" s="5" t="inlineStr">
        <is>
          <t>Integración (API)</t>
        </is>
      </c>
      <c r="I432" s="5" t="inlineStr">
        <is>
          <t>Funcional</t>
        </is>
      </c>
      <c r="J432" s="5" t="inlineStr">
        <is>
          <t>IA · Postman + Newman (Alejandro)</t>
        </is>
      </c>
      <c r="K432" s="5" t="inlineStr">
        <is>
          <t>herramientas-alejandro/02-postman-postbot</t>
        </is>
      </c>
      <c r="L432" s="5" t="inlineStr">
        <is>
          <t>Ver descripción del request</t>
        </is>
      </c>
      <c r="M432" s="5" t="inlineStr">
        <is>
          <t>4/4 aserciones</t>
        </is>
      </c>
      <c r="N432" s="7" t="inlineStr">
        <is>
          <t>Aprobado</t>
        </is>
      </c>
      <c r="O432" s="5" t="inlineStr">
        <is>
          <t>2026-10-27</t>
        </is>
      </c>
      <c r="P432" s="5" t="inlineStr">
        <is>
          <t>02-postman-postbot/evidence/newman-report.html</t>
        </is>
      </c>
      <c r="Q432" s="5" t="inlineStr">
        <is>
          <t>-</t>
        </is>
      </c>
    </row>
    <row r="433">
      <c r="A433" s="5" t="inlineStr">
        <is>
          <t>Stiven Alejandro Bustamante</t>
        </is>
      </c>
      <c r="B433" s="5" t="inlineStr">
        <is>
          <t>Bolsillos</t>
        </is>
      </c>
      <c r="C433" s="5" t="inlineStr">
        <is>
          <t>HU-24</t>
        </is>
      </c>
      <c r="D433" s="5" t="inlineStr">
        <is>
          <t>Editar bolsillo</t>
        </is>
      </c>
      <c r="E433" s="5" t="inlineStr">
        <is>
          <t>03 Editar bolsillo</t>
        </is>
      </c>
      <c r="F433" s="5" t="inlineStr">
        <is>
          <t>PM-ED-03</t>
        </is>
      </c>
      <c r="G433" s="5" t="inlineStr">
        <is>
          <t>Rechazar un monto por encima del dinero total</t>
        </is>
      </c>
      <c r="H433" s="5" t="inlineStr">
        <is>
          <t>Integración (API)</t>
        </is>
      </c>
      <c r="I433" s="5" t="inlineStr">
        <is>
          <t>Funcional</t>
        </is>
      </c>
      <c r="J433" s="5" t="inlineStr">
        <is>
          <t>IA · Postman + Newman (Alejandro)</t>
        </is>
      </c>
      <c r="K433" s="5" t="inlineStr">
        <is>
          <t>herramientas-alejandro/02-postman-postbot</t>
        </is>
      </c>
      <c r="L433" s="5" t="inlineStr">
        <is>
          <t>Ver descripción del request</t>
        </is>
      </c>
      <c r="M433" s="5" t="inlineStr">
        <is>
          <t>5/5 aserciones</t>
        </is>
      </c>
      <c r="N433" s="7" t="inlineStr">
        <is>
          <t>Aprobado</t>
        </is>
      </c>
      <c r="O433" s="5" t="inlineStr">
        <is>
          <t>2026-10-27</t>
        </is>
      </c>
      <c r="P433" s="5" t="inlineStr">
        <is>
          <t>02-postman-postbot/evidence/newman-report.html</t>
        </is>
      </c>
      <c r="Q433" s="5" t="inlineStr">
        <is>
          <t>-</t>
        </is>
      </c>
    </row>
    <row r="434">
      <c r="A434" s="5" t="inlineStr">
        <is>
          <t>Stiven Alejandro Bustamante</t>
        </is>
      </c>
      <c r="B434" s="5" t="inlineStr">
        <is>
          <t>Bolsillos</t>
        </is>
      </c>
      <c r="C434" s="5" t="inlineStr">
        <is>
          <t>HU-24</t>
        </is>
      </c>
      <c r="D434" s="5" t="inlineStr">
        <is>
          <t>Editar bolsillo</t>
        </is>
      </c>
      <c r="E434" s="5" t="inlineStr">
        <is>
          <t>Katalon Recorder</t>
        </is>
      </c>
      <c r="F434" s="5" t="inlineStr">
        <is>
          <t>Suite_03_Editar_bolsillo</t>
        </is>
      </c>
      <c r="G434" s="5" t="inlineStr">
        <is>
          <t>Suite_03_Editar_bolsillo (casos TC-1xx)</t>
        </is>
      </c>
      <c r="H434" s="5" t="inlineStr">
        <is>
          <t>Sistema (E2E)</t>
        </is>
      </c>
      <c r="I434" s="5" t="inlineStr">
        <is>
          <t>Funcional</t>
        </is>
      </c>
      <c r="J434" s="5" t="inlineStr">
        <is>
          <t>Katalon Recorder</t>
        </is>
      </c>
      <c r="K434" s="5" t="inlineStr">
        <is>
          <t>katalon/suites/Suite_03_Editar_bolsillo.html</t>
        </is>
      </c>
      <c r="L434" s="5" t="inlineStr">
        <is>
          <t>Todos los casos de la suite pasan</t>
        </is>
      </c>
      <c r="M434" s="5" t="inlineStr">
        <is>
          <t>Parte de la corrida 52/52 en KR7</t>
        </is>
      </c>
      <c r="N434" s="7" t="inlineStr">
        <is>
          <t>Aprobado</t>
        </is>
      </c>
      <c r="O434" s="5" t="inlineStr">
        <is>
          <t>2026-10-10</t>
        </is>
      </c>
      <c r="P434" s="5" t="inlineStr">
        <is>
          <t>katalon/evidencias/</t>
        </is>
      </c>
      <c r="Q434" s="5" t="inlineStr">
        <is>
          <t>-</t>
        </is>
      </c>
    </row>
    <row r="435">
      <c r="A435" s="5" t="inlineStr">
        <is>
          <t>Stiven Alejandro Bustamante</t>
        </is>
      </c>
      <c r="B435" s="5" t="inlineStr">
        <is>
          <t>Bolsillos</t>
        </is>
      </c>
      <c r="C435" s="5" t="inlineStr">
        <is>
          <t>HU-24</t>
        </is>
      </c>
      <c r="D435" s="5" t="inlineStr">
        <is>
          <t>Editar bolsillo</t>
        </is>
      </c>
      <c r="E435" s="5" t="inlineStr">
        <is>
          <t>editar_bolsillo.feature</t>
        </is>
      </c>
      <c r="F435" s="5" t="inlineStr">
        <is>
          <t>SJ-EDIT-01</t>
        </is>
      </c>
      <c r="G435" s="5" t="inlineStr">
        <is>
          <t>Renombrar un bolsillo conserva su saldo</t>
        </is>
      </c>
      <c r="H435" s="5" t="inlineStr">
        <is>
          <t>Integración (API)</t>
        </is>
      </c>
      <c r="I435" s="5" t="inlineStr">
        <is>
          <t>Funcional</t>
        </is>
      </c>
      <c r="J435" s="5" t="inlineStr">
        <is>
          <t>Serenity/JS Screenplay + Gherkin</t>
        </is>
      </c>
      <c r="K435" s="5" t="inlineStr">
        <is>
          <t>features/bolsillos/editar_bolsillo.feature</t>
        </is>
      </c>
      <c r="L435" s="5" t="inlineStr">
        <is>
          <t>ella tiene el bolsillo "Vacaciones" con 100000; la respuesta HTTP tiene estado 200; su bolsillo "Viaje a Cartagena" tiene 100000</t>
        </is>
      </c>
      <c r="M435" s="5" t="inlineStr">
        <is>
          <t>Todos los pasos pasaron</t>
        </is>
      </c>
      <c r="N435" s="7" t="inlineStr">
        <is>
          <t>Aprobado</t>
        </is>
      </c>
      <c r="O435" s="5" t="inlineStr">
        <is>
          <t>2026-10-27</t>
        </is>
      </c>
      <c r="P435" s="5" t="inlineStr">
        <is>
          <t>docs/evidencia-final-equipo/serenity-equipo-corrida.txt</t>
        </is>
      </c>
      <c r="Q435" s="5" t="inlineStr">
        <is>
          <t>-</t>
        </is>
      </c>
    </row>
    <row r="436">
      <c r="A436" s="5" t="inlineStr">
        <is>
          <t>Stiven Alejandro Bustamante</t>
        </is>
      </c>
      <c r="B436" s="5" t="inlineStr">
        <is>
          <t>Bolsillos</t>
        </is>
      </c>
      <c r="C436" s="5" t="inlineStr">
        <is>
          <t>HU-24</t>
        </is>
      </c>
      <c r="D436" s="5" t="inlineStr">
        <is>
          <t>Editar bolsillo</t>
        </is>
      </c>
      <c r="E436" s="5" t="inlineStr">
        <is>
          <t>editar_bolsillo.feature</t>
        </is>
      </c>
      <c r="F436" s="5" t="inlineStr">
        <is>
          <t>SJ-EDIT-02</t>
        </is>
      </c>
      <c r="G436" s="5" t="inlineStr">
        <is>
          <t>Aumentar el monto de un bolsillo descuenta la diferencia de la cuenta</t>
        </is>
      </c>
      <c r="H436" s="5" t="inlineStr">
        <is>
          <t>Integración (API)</t>
        </is>
      </c>
      <c r="I436" s="5" t="inlineStr">
        <is>
          <t>Funcional</t>
        </is>
      </c>
      <c r="J436" s="5" t="inlineStr">
        <is>
          <t>Serenity/JS Screenplay + Gherkin</t>
        </is>
      </c>
      <c r="K436" s="5" t="inlineStr">
        <is>
          <t>features/bolsillos/editar_bolsillo.feature</t>
        </is>
      </c>
      <c r="L436" s="5" t="inlineStr">
        <is>
          <t>ella tiene el bolsillo "Vacaciones" con 100000; la respuesta HTTP tiene estado 200; su bolsillo "Vacaciones" tiene 150000; el saldo de su cuenta es 350000</t>
        </is>
      </c>
      <c r="M436" s="5" t="inlineStr">
        <is>
          <t>Todos los pasos pasaron</t>
        </is>
      </c>
      <c r="N436" s="7" t="inlineStr">
        <is>
          <t>Aprobado</t>
        </is>
      </c>
      <c r="O436" s="5" t="inlineStr">
        <is>
          <t>2026-10-27</t>
        </is>
      </c>
      <c r="P436" s="5" t="inlineStr">
        <is>
          <t>docs/evidencia-final-equipo/serenity-equipo-corrida.txt</t>
        </is>
      </c>
      <c r="Q436" s="5" t="inlineStr">
        <is>
          <t>-</t>
        </is>
      </c>
    </row>
    <row r="437">
      <c r="A437" s="5" t="inlineStr">
        <is>
          <t>Stiven Alejandro Bustamante</t>
        </is>
      </c>
      <c r="B437" s="5" t="inlineStr">
        <is>
          <t>Bolsillos</t>
        </is>
      </c>
      <c r="C437" s="5" t="inlineStr">
        <is>
          <t>HU-24</t>
        </is>
      </c>
      <c r="D437" s="5" t="inlineStr">
        <is>
          <t>Editar bolsillo</t>
        </is>
      </c>
      <c r="E437" s="5" t="inlineStr">
        <is>
          <t>editar_bolsillo.feature</t>
        </is>
      </c>
      <c r="F437" s="5" t="inlineStr">
        <is>
          <t>SJ-EDIT-03</t>
        </is>
      </c>
      <c r="G437" s="5" t="inlineStr">
        <is>
          <t>Disminuir el monto de un bolsillo devuelve la diferencia a la cuenta</t>
        </is>
      </c>
      <c r="H437" s="5" t="inlineStr">
        <is>
          <t>Integración (API)</t>
        </is>
      </c>
      <c r="I437" s="5" t="inlineStr">
        <is>
          <t>Funcional</t>
        </is>
      </c>
      <c r="J437" s="5" t="inlineStr">
        <is>
          <t>Serenity/JS Screenplay + Gherkin</t>
        </is>
      </c>
      <c r="K437" s="5" t="inlineStr">
        <is>
          <t>features/bolsillos/editar_bolsillo.feature</t>
        </is>
      </c>
      <c r="L437" s="5" t="inlineStr">
        <is>
          <t>ella tiene el bolsillo "Vacaciones" con 100000; la respuesta HTTP tiene estado 200; su bolsillo "Vacaciones" tiene 40000; el saldo de su cuenta es 460000</t>
        </is>
      </c>
      <c r="M437" s="5" t="inlineStr">
        <is>
          <t>Todos los pasos pasaron</t>
        </is>
      </c>
      <c r="N437" s="7" t="inlineStr">
        <is>
          <t>Aprobado</t>
        </is>
      </c>
      <c r="O437" s="5" t="inlineStr">
        <is>
          <t>2026-10-27</t>
        </is>
      </c>
      <c r="P437" s="5" t="inlineStr">
        <is>
          <t>docs/evidencia-final-equipo/serenity-equipo-corrida.txt</t>
        </is>
      </c>
      <c r="Q437" s="5" t="inlineStr">
        <is>
          <t>-</t>
        </is>
      </c>
    </row>
    <row r="438">
      <c r="A438" s="5" t="inlineStr">
        <is>
          <t>Stiven Alejandro Bustamante</t>
        </is>
      </c>
      <c r="B438" s="5" t="inlineStr">
        <is>
          <t>Bolsillos</t>
        </is>
      </c>
      <c r="C438" s="5" t="inlineStr">
        <is>
          <t>HU-24</t>
        </is>
      </c>
      <c r="D438" s="5" t="inlineStr">
        <is>
          <t>Editar bolsillo</t>
        </is>
      </c>
      <c r="E438" s="5" t="inlineStr">
        <is>
          <t>editar_bolsillo.feature</t>
        </is>
      </c>
      <c r="F438" s="5" t="inlineStr">
        <is>
          <t>SJ-EDIT-04</t>
        </is>
      </c>
      <c r="G438" s="5" t="inlineStr">
        <is>
          <t>No se puede ajustar un bolsillo por encima del dinero total</t>
        </is>
      </c>
      <c r="H438" s="5" t="inlineStr">
        <is>
          <t>Integración (API)</t>
        </is>
      </c>
      <c r="I438" s="5" t="inlineStr">
        <is>
          <t>Funcional</t>
        </is>
      </c>
      <c r="J438" s="5" t="inlineStr">
        <is>
          <t>Serenity/JS Screenplay + Gherkin</t>
        </is>
      </c>
      <c r="K438" s="5" t="inlineStr">
        <is>
          <t>features/bolsillos/editar_bolsillo.feature</t>
        </is>
      </c>
      <c r="L438" s="5" t="inlineStr">
        <is>
          <t>ella tiene el bolsillo "Vacaciones" con 100000; la respuesta HTTP tiene estado 400; el código de error es "INSUFFICIENT_AVAILABLE_BALANCE"; el saldo de su cuenta es 400000</t>
        </is>
      </c>
      <c r="M438" s="5" t="inlineStr">
        <is>
          <t>Todos los pasos pasaron</t>
        </is>
      </c>
      <c r="N438" s="7" t="inlineStr">
        <is>
          <t>Aprobado</t>
        </is>
      </c>
      <c r="O438" s="5" t="inlineStr">
        <is>
          <t>2026-10-27</t>
        </is>
      </c>
      <c r="P438" s="5" t="inlineStr">
        <is>
          <t>docs/evidencia-final-equipo/serenity-equipo-corrida.txt</t>
        </is>
      </c>
      <c r="Q438" s="5" t="inlineStr">
        <is>
          <t>-</t>
        </is>
      </c>
    </row>
    <row r="439">
      <c r="A439" s="5" t="inlineStr">
        <is>
          <t>Stiven Alejandro Bustamante</t>
        </is>
      </c>
      <c r="B439" s="5" t="inlineStr">
        <is>
          <t>Bolsillos</t>
        </is>
      </c>
      <c r="C439" s="5" t="inlineStr">
        <is>
          <t>HU-24</t>
        </is>
      </c>
      <c r="D439" s="5" t="inlineStr">
        <is>
          <t>Editar bolsillo</t>
        </is>
      </c>
      <c r="E439" s="5" t="inlineStr">
        <is>
          <t>editar_bolsillo.feature</t>
        </is>
      </c>
      <c r="F439" s="5" t="inlineStr">
        <is>
          <t>SJ-EDIT-05</t>
        </is>
      </c>
      <c r="G439" s="5" t="inlineStr">
        <is>
          <t>Renombrar un bolsillo desde la pantalla</t>
        </is>
      </c>
      <c r="H439" s="5" t="inlineStr">
        <is>
          <t>Sistema (E2E)</t>
        </is>
      </c>
      <c r="I439" s="5" t="inlineStr">
        <is>
          <t>Funcional</t>
        </is>
      </c>
      <c r="J439" s="5" t="inlineStr">
        <is>
          <t>Serenity/JS Screenplay + Gherkin</t>
        </is>
      </c>
      <c r="K439" s="5" t="inlineStr">
        <is>
          <t>features/bolsillos/editar_bolsillo.feature</t>
        </is>
      </c>
      <c r="L439" s="5" t="inlineStr">
        <is>
          <t>ella tiene el bolsillo "Vacaciones" con 100000; ella ve la notificación "Bolsillo actualizado"; ella ve el bolsillo "Viaje a Cartagena" con 100000</t>
        </is>
      </c>
      <c r="M439" s="5" t="inlineStr">
        <is>
          <t>Todos los pasos pasaron</t>
        </is>
      </c>
      <c r="N439" s="7" t="inlineStr">
        <is>
          <t>Aprobado</t>
        </is>
      </c>
      <c r="O439" s="5" t="inlineStr">
        <is>
          <t>2026-10-27</t>
        </is>
      </c>
      <c r="P439" s="5" t="inlineStr">
        <is>
          <t>docs/evidencia-final-equipo/serenity-equipo-corrida.txt</t>
        </is>
      </c>
      <c r="Q439" s="5" t="inlineStr">
        <is>
          <t>-</t>
        </is>
      </c>
    </row>
    <row r="440">
      <c r="A440" s="5" t="inlineStr">
        <is>
          <t>Stiven Alejandro Bustamante</t>
        </is>
      </c>
      <c r="B440" s="5" t="inlineStr">
        <is>
          <t>Bolsillos</t>
        </is>
      </c>
      <c r="C440" s="5" t="inlineStr">
        <is>
          <t>HU-24</t>
        </is>
      </c>
      <c r="D440" s="5" t="inlineStr">
        <is>
          <t>Editar bolsillo</t>
        </is>
      </c>
      <c r="E440" s="5" t="inlineStr">
        <is>
          <t>Stagehand</t>
        </is>
      </c>
      <c r="F440" s="5" t="inlineStr">
        <is>
          <t>SH-B03</t>
        </is>
      </c>
      <c r="G440" s="5" t="inlineStr">
        <is>
          <t>La IA renombra un bolsillo y aumenta su monto desde el formulario de edición.</t>
        </is>
      </c>
      <c r="H440" s="5" t="inlineStr">
        <is>
          <t>Sistema (E2E con IA)</t>
        </is>
      </c>
      <c r="I440" s="5" t="inlineStr">
        <is>
          <t>Funcional</t>
        </is>
      </c>
      <c r="J440" s="5" t="inlineStr">
        <is>
          <t>Stagehand (google/gemini-3.5-flash)</t>
        </is>
      </c>
      <c r="K440" s="5" t="inlineStr">
        <is>
          <t>e2e/stagehand/src/bolsillos/scenarios.ts</t>
        </is>
      </c>
      <c r="L440" s="5" t="inlineStr">
        <is>
          <t>Toast "Bolsillo actualizado", bolsillo "Viaje a Cartagena" con 150.000 y saldo de la cuenta en 350.000.</t>
        </is>
      </c>
      <c r="M440" s="5" t="inlineStr">
        <is>
          <t>4/4 validaciones correctas</t>
        </is>
      </c>
      <c r="N440" s="7" t="inlineStr">
        <is>
          <t>Aprobado</t>
        </is>
      </c>
      <c r="O440" s="5" t="inlineStr">
        <is>
          <t>2026-10-27</t>
        </is>
      </c>
      <c r="P440" s="5" t="inlineStr">
        <is>
          <t>e2e/stagehand/evidence/bolsillos/SH-B03-report.json</t>
        </is>
      </c>
      <c r="Q440" s="5" t="inlineStr">
        <is>
          <t>-</t>
        </is>
      </c>
    </row>
    <row r="441">
      <c r="A441" s="5" t="inlineStr">
        <is>
          <t>Stiven Alejandro Bustamante</t>
        </is>
      </c>
      <c r="B441" s="5" t="inlineStr">
        <is>
          <t>Bolsillos</t>
        </is>
      </c>
      <c r="C441" s="5" t="inlineStr">
        <is>
          <t>HU-24</t>
        </is>
      </c>
      <c r="D441" s="5" t="inlineStr">
        <is>
          <t>Editar bolsillo</t>
        </is>
      </c>
      <c r="E441" s="5" t="inlineStr">
        <is>
          <t>Vitest backend · unitaria</t>
        </is>
      </c>
      <c r="F441" s="5" t="inlineStr">
        <is>
          <t>VT-UpdatePocket.test</t>
        </is>
      </c>
      <c r="G441" s="5" t="inlineStr">
        <is>
          <t>UpdatePocket.test.ts (15 pruebas)</t>
        </is>
      </c>
      <c r="H441" s="5" t="inlineStr">
        <is>
          <t>Unitaria / Integración</t>
        </is>
      </c>
      <c r="I441" s="5" t="inlineStr">
        <is>
          <t>Funcional</t>
        </is>
      </c>
      <c r="J441" s="5" t="inlineStr">
        <is>
          <t>Vitest backend</t>
        </is>
      </c>
      <c r="K441" s="5" t="inlineStr">
        <is>
          <t>backend/src/tests/unit/pocket/UpdatePocket.test.ts</t>
        </is>
      </c>
      <c r="L441" s="5" t="inlineStr">
        <is>
          <t>Todas las pruebas del archivo pasan</t>
        </is>
      </c>
      <c r="M441" s="5" t="inlineStr">
        <is>
          <t>15/15 pasan</t>
        </is>
      </c>
      <c r="N441" s="7" t="inlineStr">
        <is>
          <t>Aprobado</t>
        </is>
      </c>
      <c r="O441" s="5" t="inlineStr">
        <is>
          <t>2026-10-27</t>
        </is>
      </c>
      <c r="P441" s="5" t="inlineStr">
        <is>
          <t>docs/evidencia-final-equipo/vitest-backend.json</t>
        </is>
      </c>
      <c r="Q441" s="5" t="inlineStr">
        <is>
          <t>-</t>
        </is>
      </c>
    </row>
    <row r="442">
      <c r="A442" s="5" t="inlineStr">
        <is>
          <t>Stiven Alejandro Bustamante</t>
        </is>
      </c>
      <c r="B442" s="5" t="inlineStr">
        <is>
          <t>Bolsillos</t>
        </is>
      </c>
      <c r="C442" s="5" t="inlineStr">
        <is>
          <t>HU-24</t>
        </is>
      </c>
      <c r="D442" s="5" t="inlineStr">
        <is>
          <t>Editar bolsillo</t>
        </is>
      </c>
      <c r="E442" s="5" t="inlineStr">
        <is>
          <t>Vitest backend · regresión</t>
        </is>
      </c>
      <c r="F442" s="5" t="inlineStr">
        <is>
          <t>VT-actualizar.regression.test</t>
        </is>
      </c>
      <c r="G442" s="5" t="inlineStr">
        <is>
          <t>actualizar.regression.test.ts (19 pruebas)</t>
        </is>
      </c>
      <c r="H442" s="5" t="inlineStr">
        <is>
          <t>Unitaria / Integración</t>
        </is>
      </c>
      <c r="I442" s="5" t="inlineStr">
        <is>
          <t>Funcional</t>
        </is>
      </c>
      <c r="J442" s="5" t="inlineStr">
        <is>
          <t>Vitest backend</t>
        </is>
      </c>
      <c r="K442" s="5" t="inlineStr">
        <is>
          <t>backend/src/tests/regression/pocket/actualizar.regression.test.ts</t>
        </is>
      </c>
      <c r="L442" s="5" t="inlineStr">
        <is>
          <t>Todas las pruebas del archivo pasan</t>
        </is>
      </c>
      <c r="M442" s="5" t="inlineStr">
        <is>
          <t>19/19 pasan</t>
        </is>
      </c>
      <c r="N442" s="7" t="inlineStr">
        <is>
          <t>Aprobado</t>
        </is>
      </c>
      <c r="O442" s="5" t="inlineStr">
        <is>
          <t>2026-10-27</t>
        </is>
      </c>
      <c r="P442" s="5" t="inlineStr">
        <is>
          <t>docs/evidencia-final-equipo/vitest-backend.json</t>
        </is>
      </c>
      <c r="Q442" s="5" t="inlineStr">
        <is>
          <t>-</t>
        </is>
      </c>
    </row>
    <row r="443">
      <c r="A443" s="5" t="inlineStr">
        <is>
          <t>Stiven Alejandro Bustamante</t>
        </is>
      </c>
      <c r="B443" s="5" t="inlineStr">
        <is>
          <t>Bolsillos</t>
        </is>
      </c>
      <c r="C443" s="5" t="inlineStr">
        <is>
          <t>HU-25</t>
        </is>
      </c>
      <c r="D443" s="5" t="inlineStr">
        <is>
          <t>Eliminar bolsillo</t>
        </is>
      </c>
      <c r="E443" s="5" t="inlineStr">
        <is>
          <t>ESC038</t>
        </is>
      </c>
      <c r="F443" s="5" t="inlineStr">
        <is>
          <t>TC-128</t>
        </is>
      </c>
      <c r="G443" s="5" t="inlineStr">
        <is>
          <t>Eliminación exitosa</t>
        </is>
      </c>
      <c r="H443" s="5" t="inlineStr">
        <is>
          <t>Integración</t>
        </is>
      </c>
      <c r="I443" s="5" t="inlineStr">
        <is>
          <t>Funcional</t>
        </is>
      </c>
      <c r="J443" s="5" t="inlineStr">
        <is>
          <t>Casos del Excel (diseño + ejecución manual)</t>
        </is>
      </c>
      <c r="K443" s="5" t="inlineStr">
        <is>
          <t>Casos y Escenarios FuBank.xlsx</t>
        </is>
      </c>
      <c r="L443" s="5" t="inlineStr">
        <is>
          <t>Se elimina un bolsillo existente; el sistema lo retira de la lista</t>
        </is>
      </c>
      <c r="M443" s="5" t="inlineStr">
        <is>
          <t>Según lo esperado</t>
        </is>
      </c>
      <c r="N443" s="7" t="inlineStr">
        <is>
          <t>Aprobado</t>
        </is>
      </c>
      <c r="O443" s="5" t="inlineStr">
        <is>
          <t>2026-10-10</t>
        </is>
      </c>
      <c r="P443" s="5" t="inlineStr">
        <is>
          <t>Excel (hoja Casos de Prueba Detallado)</t>
        </is>
      </c>
      <c r="Q443" s="5" t="inlineStr">
        <is>
          <t>-</t>
        </is>
      </c>
    </row>
    <row r="444">
      <c r="A444" s="5" t="inlineStr">
        <is>
          <t>Stiven Alejandro Bustamante</t>
        </is>
      </c>
      <c r="B444" s="5" t="inlineStr">
        <is>
          <t>Bolsillos</t>
        </is>
      </c>
      <c r="C444" s="5" t="inlineStr">
        <is>
          <t>HU-25</t>
        </is>
      </c>
      <c r="D444" s="5" t="inlineStr">
        <is>
          <t>Eliminar bolsillo</t>
        </is>
      </c>
      <c r="E444" s="5" t="inlineStr">
        <is>
          <t>ESC038</t>
        </is>
      </c>
      <c r="F444" s="5" t="inlineStr">
        <is>
          <t>TC-129</t>
        </is>
      </c>
      <c r="G444" s="5" t="inlineStr">
        <is>
          <t>Devolución del saldo</t>
        </is>
      </c>
      <c r="H444" s="5" t="inlineStr">
        <is>
          <t>Integración</t>
        </is>
      </c>
      <c r="I444" s="5" t="inlineStr">
        <is>
          <t>Funcional</t>
        </is>
      </c>
      <c r="J444" s="5" t="inlineStr">
        <is>
          <t>Casos del Excel (diseño + ejecución manual)</t>
        </is>
      </c>
      <c r="K444" s="5" t="inlineStr">
        <is>
          <t>Casos y Escenarios FuBank.xlsx</t>
        </is>
      </c>
      <c r="L444" s="5" t="inlineStr">
        <is>
          <t>Al eliminar, el monto reservado del bolsillo se devuelve al saldo de la cuenta</t>
        </is>
      </c>
      <c r="M444" s="5" t="inlineStr">
        <is>
          <t>Según lo esperado</t>
        </is>
      </c>
      <c r="N444" s="7" t="inlineStr">
        <is>
          <t>Aprobado</t>
        </is>
      </c>
      <c r="O444" s="5" t="inlineStr">
        <is>
          <t>2026-10-10</t>
        </is>
      </c>
      <c r="P444" s="5" t="inlineStr">
        <is>
          <t>Excel (hoja Casos de Prueba Detallado)</t>
        </is>
      </c>
      <c r="Q444" s="5" t="inlineStr">
        <is>
          <t>-</t>
        </is>
      </c>
    </row>
    <row r="445">
      <c r="A445" s="5" t="inlineStr">
        <is>
          <t>Stiven Alejandro Bustamante</t>
        </is>
      </c>
      <c r="B445" s="5" t="inlineStr">
        <is>
          <t>Bolsillos</t>
        </is>
      </c>
      <c r="C445" s="5" t="inlineStr">
        <is>
          <t>HU-25</t>
        </is>
      </c>
      <c r="D445" s="5" t="inlineStr">
        <is>
          <t>Eliminar bolsillo</t>
        </is>
      </c>
      <c r="E445" s="5" t="inlineStr">
        <is>
          <t>ESC038</t>
        </is>
      </c>
      <c r="F445" s="5" t="inlineStr">
        <is>
          <t>TC-130</t>
        </is>
      </c>
      <c r="G445" s="5" t="inlineStr">
        <is>
          <t>Generación de notificación</t>
        </is>
      </c>
      <c r="H445" s="5" t="inlineStr">
        <is>
          <t>Integración</t>
        </is>
      </c>
      <c r="I445" s="5" t="inlineStr">
        <is>
          <t>Funcional</t>
        </is>
      </c>
      <c r="J445" s="5" t="inlineStr">
        <is>
          <t>Casos del Excel (diseño + ejecución manual)</t>
        </is>
      </c>
      <c r="K445" s="5" t="inlineStr">
        <is>
          <t>Casos y Escenarios FuBank.xlsx</t>
        </is>
      </c>
      <c r="L445" s="5" t="inlineStr">
        <is>
          <t>Al eliminar, el sistema registra la notificación "Bolsillo eliminado"</t>
        </is>
      </c>
      <c r="M445" s="5" t="inlineStr">
        <is>
          <t>Según lo esperado</t>
        </is>
      </c>
      <c r="N445" s="7" t="inlineStr">
        <is>
          <t>Aprobado</t>
        </is>
      </c>
      <c r="O445" s="5" t="inlineStr">
        <is>
          <t>2026-10-10</t>
        </is>
      </c>
      <c r="P445" s="5" t="inlineStr">
        <is>
          <t>Excel (hoja Casos de Prueba Detallado)</t>
        </is>
      </c>
      <c r="Q445" s="5" t="inlineStr">
        <is>
          <t>-</t>
        </is>
      </c>
    </row>
    <row r="446">
      <c r="A446" s="5" t="inlineStr">
        <is>
          <t>Stiven Alejandro Bustamante</t>
        </is>
      </c>
      <c r="B446" s="5" t="inlineStr">
        <is>
          <t>Bolsillos</t>
        </is>
      </c>
      <c r="C446" s="5" t="inlineStr">
        <is>
          <t>HU-25</t>
        </is>
      </c>
      <c r="D446" s="5" t="inlineStr">
        <is>
          <t>Eliminar bolsillo</t>
        </is>
      </c>
      <c r="E446" s="5" t="inlineStr">
        <is>
          <t>ESC039</t>
        </is>
      </c>
      <c r="F446" s="5" t="inlineStr">
        <is>
          <t>TC-131</t>
        </is>
      </c>
      <c r="G446" s="5" t="inlineStr">
        <is>
          <t>Bolsillo inexistente</t>
        </is>
      </c>
      <c r="H446" s="5" t="inlineStr">
        <is>
          <t>Unitaria</t>
        </is>
      </c>
      <c r="I446" s="5" t="inlineStr">
        <is>
          <t>Funcional</t>
        </is>
      </c>
      <c r="J446" s="5" t="inlineStr">
        <is>
          <t>Casos del Excel (diseño + ejecución manual)</t>
        </is>
      </c>
      <c r="K446" s="5" t="inlineStr">
        <is>
          <t>Casos y Escenarios FuBank.xlsx</t>
        </is>
      </c>
      <c r="L446" s="5" t="inlineStr">
        <is>
          <t>Se intenta eliminar un pocketId inexistente; el sistema responde POCKET_NOT_FOUND</t>
        </is>
      </c>
      <c r="M446" s="5" t="inlineStr">
        <is>
          <t>Según lo esperado</t>
        </is>
      </c>
      <c r="N446" s="7" t="inlineStr">
        <is>
          <t>Aprobado</t>
        </is>
      </c>
      <c r="O446" s="5" t="inlineStr">
        <is>
          <t>2026-10-10</t>
        </is>
      </c>
      <c r="P446" s="5" t="inlineStr">
        <is>
          <t>Excel (hoja Casos de Prueba Detallado)</t>
        </is>
      </c>
      <c r="Q446" s="5" t="inlineStr">
        <is>
          <t>-</t>
        </is>
      </c>
    </row>
    <row r="447">
      <c r="A447" s="5" t="inlineStr">
        <is>
          <t>Stiven Alejandro Bustamante</t>
        </is>
      </c>
      <c r="B447" s="5" t="inlineStr">
        <is>
          <t>Bolsillos</t>
        </is>
      </c>
      <c r="C447" s="5" t="inlineStr">
        <is>
          <t>HU-25</t>
        </is>
      </c>
      <c r="D447" s="5" t="inlineStr">
        <is>
          <t>Eliminar bolsillo</t>
        </is>
      </c>
      <c r="E447" s="5" t="inlineStr">
        <is>
          <t>ESC039</t>
        </is>
      </c>
      <c r="F447" s="5" t="inlineStr">
        <is>
          <t>TC-132</t>
        </is>
      </c>
      <c r="G447" s="5" t="inlineStr">
        <is>
          <t>Cuenta ajena</t>
        </is>
      </c>
      <c r="H447" s="5" t="inlineStr">
        <is>
          <t>Unitaria</t>
        </is>
      </c>
      <c r="I447" s="5" t="inlineStr">
        <is>
          <t>Seguridad</t>
        </is>
      </c>
      <c r="J447" s="5" t="inlineStr">
        <is>
          <t>Casos del Excel (diseño + ejecución manual)</t>
        </is>
      </c>
      <c r="K447" s="5" t="inlineStr">
        <is>
          <t>Casos y Escenarios FuBank.xlsx</t>
        </is>
      </c>
      <c r="L447" s="5" t="inlineStr">
        <is>
          <t>Un usuario que no es dueño intenta eliminar el bolsillo; el sistema lo rechaza (FORBIDDEN)</t>
        </is>
      </c>
      <c r="M447" s="5" t="inlineStr">
        <is>
          <t>Según lo esperado</t>
        </is>
      </c>
      <c r="N447" s="7" t="inlineStr">
        <is>
          <t>Aprobado</t>
        </is>
      </c>
      <c r="O447" s="5" t="inlineStr">
        <is>
          <t>2026-10-10</t>
        </is>
      </c>
      <c r="P447" s="5" t="inlineStr">
        <is>
          <t>Excel (hoja Casos de Prueba Detallado)</t>
        </is>
      </c>
      <c r="Q447" s="5" t="inlineStr">
        <is>
          <t>-</t>
        </is>
      </c>
    </row>
    <row r="448">
      <c r="A448" s="5" t="inlineStr">
        <is>
          <t>Stiven Alejandro Bustamante</t>
        </is>
      </c>
      <c r="B448" s="5" t="inlineStr">
        <is>
          <t>Bolsillos</t>
        </is>
      </c>
      <c r="C448" s="5" t="inlineStr">
        <is>
          <t>HU-25</t>
        </is>
      </c>
      <c r="D448" s="5" t="inlineStr">
        <is>
          <t>Eliminar bolsillo</t>
        </is>
      </c>
      <c r="E448" s="5" t="inlineStr">
        <is>
          <t>ESC039</t>
        </is>
      </c>
      <c r="F448" s="5" t="inlineStr">
        <is>
          <t>TC-133</t>
        </is>
      </c>
      <c r="G448" s="5" t="inlineStr">
        <is>
          <t>Sin autenticación</t>
        </is>
      </c>
      <c r="H448" s="5" t="inlineStr">
        <is>
          <t>Unitaria</t>
        </is>
      </c>
      <c r="I448" s="5" t="inlineStr">
        <is>
          <t>Seguridad</t>
        </is>
      </c>
      <c r="J448" s="5" t="inlineStr">
        <is>
          <t>Casos del Excel (diseño + ejecución manual)</t>
        </is>
      </c>
      <c r="K448" s="5" t="inlineStr">
        <is>
          <t>Casos y Escenarios FuBank.xlsx</t>
        </is>
      </c>
      <c r="L448" s="5" t="inlineStr">
        <is>
          <t>Se intenta eliminar sin token de sesión válido; el sistema no autoriza la operación</t>
        </is>
      </c>
      <c r="M448" s="5" t="inlineStr">
        <is>
          <t>Según lo esperado</t>
        </is>
      </c>
      <c r="N448" s="7" t="inlineStr">
        <is>
          <t>Aprobado</t>
        </is>
      </c>
      <c r="O448" s="5" t="inlineStr">
        <is>
          <t>2026-10-10</t>
        </is>
      </c>
      <c r="P448" s="5" t="inlineStr">
        <is>
          <t>Excel (hoja Casos de Prueba Detallado)</t>
        </is>
      </c>
      <c r="Q448" s="5" t="inlineStr">
        <is>
          <t>-</t>
        </is>
      </c>
    </row>
    <row r="449">
      <c r="A449" s="5" t="inlineStr">
        <is>
          <t>Stiven Alejandro Bustamante</t>
        </is>
      </c>
      <c r="B449" s="5" t="inlineStr">
        <is>
          <t>Bolsillos</t>
        </is>
      </c>
      <c r="C449" s="5" t="inlineStr">
        <is>
          <t>HU-25</t>
        </is>
      </c>
      <c r="D449" s="5" t="inlineStr">
        <is>
          <t>Eliminar bolsillo</t>
        </is>
      </c>
      <c r="E449" s="5" t="inlineStr">
        <is>
          <t>accesibilidad.feature</t>
        </is>
      </c>
      <c r="F449" s="5" t="inlineStr">
        <is>
          <t>CY-ACCE-02</t>
        </is>
      </c>
      <c r="G449" s="5" t="inlineStr">
        <is>
          <t>El diálogo para eliminar un bolsillo es accesible</t>
        </is>
      </c>
      <c r="H449" s="5" t="inlineStr">
        <is>
          <t>Sistema (E2E)</t>
        </is>
      </c>
      <c r="I449" s="5" t="inlineStr">
        <is>
          <t>Accesibilidad</t>
        </is>
      </c>
      <c r="J449" s="5" t="inlineStr">
        <is>
          <t>Cypress + Gherkin (Bolsillos)</t>
        </is>
      </c>
      <c r="K449" s="5" t="inlineStr">
        <is>
          <t>cypress/bolsillos/features/accesibilidad.feature</t>
        </is>
      </c>
      <c r="L449" s="5" t="inlineStr">
        <is>
          <t>ella tiene el bolsillo "Vacaciones" con 100000; el diálogo no tiene violaciones de accesibilidad graves</t>
        </is>
      </c>
      <c r="M449" s="5" t="inlineStr">
        <is>
          <t>Todos los pasos pasaron</t>
        </is>
      </c>
      <c r="N449" s="7" t="inlineStr">
        <is>
          <t>Aprobado</t>
        </is>
      </c>
      <c r="O449" s="5" t="inlineStr">
        <is>
          <t>2026-10-27</t>
        </is>
      </c>
      <c r="P449" s="5" t="inlineStr">
        <is>
          <t>docs/evidencia-cypress-bolsillos/despues/cucumber-report.html</t>
        </is>
      </c>
      <c r="Q449" s="5" t="inlineStr">
        <is>
          <t>-</t>
        </is>
      </c>
    </row>
    <row r="450">
      <c r="A450" s="5" t="inlineStr">
        <is>
          <t>Stiven Alejandro Bustamante</t>
        </is>
      </c>
      <c r="B450" s="5" t="inlineStr">
        <is>
          <t>Bolsillos</t>
        </is>
      </c>
      <c r="C450" s="5" t="inlineStr">
        <is>
          <t>HU-25</t>
        </is>
      </c>
      <c r="D450" s="5" t="inlineStr">
        <is>
          <t>Eliminar bolsillo</t>
        </is>
      </c>
      <c r="E450" s="5" t="inlineStr">
        <is>
          <t>eliminar_bolsillo.feature</t>
        </is>
      </c>
      <c r="F450" s="5" t="inlineStr">
        <is>
          <t>CY-ELIM-01</t>
        </is>
      </c>
      <c r="G450" s="5" t="inlineStr">
        <is>
          <t>Eliminar un bolsillo devuelve su saldo a la cuenta</t>
        </is>
      </c>
      <c r="H450" s="5" t="inlineStr">
        <is>
          <t>Integración (API)</t>
        </is>
      </c>
      <c r="I450" s="5" t="inlineStr">
        <is>
          <t>Funcional</t>
        </is>
      </c>
      <c r="J450" s="5" t="inlineStr">
        <is>
          <t>Cypress + Gherkin (Bolsillos)</t>
        </is>
      </c>
      <c r="K450" s="5" t="inlineStr">
        <is>
          <t>e2e/serenity/features/bolsillos/eliminar_bolsillo.feature</t>
        </is>
      </c>
      <c r="L450" s="5" t="inlineStr">
        <is>
          <t>ella tiene el bolsillo "Vacaciones" con 100000; la respuesta HTTP tiene estado 200; el saldo de su cuenta es 500000; su cuenta no tiene bolsillos</t>
        </is>
      </c>
      <c r="M450" s="5" t="inlineStr">
        <is>
          <t>Todos los pasos pasaron</t>
        </is>
      </c>
      <c r="N450" s="7" t="inlineStr">
        <is>
          <t>Aprobado</t>
        </is>
      </c>
      <c r="O450" s="5" t="inlineStr">
        <is>
          <t>2026-10-27</t>
        </is>
      </c>
      <c r="P450" s="5" t="inlineStr">
        <is>
          <t>docs/evidencia-cypress-bolsillos/despues/cucumber-report.html</t>
        </is>
      </c>
      <c r="Q450" s="5" t="inlineStr">
        <is>
          <t>-</t>
        </is>
      </c>
    </row>
    <row r="451">
      <c r="A451" s="5" t="inlineStr">
        <is>
          <t>Stiven Alejandro Bustamante</t>
        </is>
      </c>
      <c r="B451" s="5" t="inlineStr">
        <is>
          <t>Bolsillos</t>
        </is>
      </c>
      <c r="C451" s="5" t="inlineStr">
        <is>
          <t>HU-25</t>
        </is>
      </c>
      <c r="D451" s="5" t="inlineStr">
        <is>
          <t>Eliminar bolsillo</t>
        </is>
      </c>
      <c r="E451" s="5" t="inlineStr">
        <is>
          <t>eliminar_bolsillo.feature</t>
        </is>
      </c>
      <c r="F451" s="5" t="inlineStr">
        <is>
          <t>CY-ELIM-02</t>
        </is>
      </c>
      <c r="G451" s="5" t="inlineStr">
        <is>
          <t>No se puede eliminar el bolsillo de otro cliente</t>
        </is>
      </c>
      <c r="H451" s="5" t="inlineStr">
        <is>
          <t>Integración (API)</t>
        </is>
      </c>
      <c r="I451" s="5" t="inlineStr">
        <is>
          <t>Seguridad</t>
        </is>
      </c>
      <c r="J451" s="5" t="inlineStr">
        <is>
          <t>Cypress + Gherkin (Bolsillos)</t>
        </is>
      </c>
      <c r="K451" s="5" t="inlineStr">
        <is>
          <t>e2e/serenity/features/bolsillos/eliminar_bolsillo.feature</t>
        </is>
      </c>
      <c r="L451" s="5" t="inlineStr">
        <is>
          <t>ella tiene el bolsillo "Vacaciones" con 100000; él tiene el bolsillo "Moto" con 50000; la respuesta HTTP tiene estado 403; el código de error es "FORBIDDEN"; el saldo de la cuenta de Bruno es 50000</t>
        </is>
      </c>
      <c r="M451" s="5" t="inlineStr">
        <is>
          <t>Todos los pasos pasaron</t>
        </is>
      </c>
      <c r="N451" s="7" t="inlineStr">
        <is>
          <t>Aprobado</t>
        </is>
      </c>
      <c r="O451" s="5" t="inlineStr">
        <is>
          <t>2026-10-27</t>
        </is>
      </c>
      <c r="P451" s="5" t="inlineStr">
        <is>
          <t>docs/evidencia-cypress-bolsillos/despues/cucumber-report.html</t>
        </is>
      </c>
      <c r="Q451" s="5" t="inlineStr">
        <is>
          <t>-</t>
        </is>
      </c>
    </row>
    <row r="452">
      <c r="A452" s="5" t="inlineStr">
        <is>
          <t>Stiven Alejandro Bustamante</t>
        </is>
      </c>
      <c r="B452" s="5" t="inlineStr">
        <is>
          <t>Bolsillos</t>
        </is>
      </c>
      <c r="C452" s="5" t="inlineStr">
        <is>
          <t>HU-25</t>
        </is>
      </c>
      <c r="D452" s="5" t="inlineStr">
        <is>
          <t>Eliminar bolsillo</t>
        </is>
      </c>
      <c r="E452" s="5" t="inlineStr">
        <is>
          <t>eliminar_bolsillo.feature</t>
        </is>
      </c>
      <c r="F452" s="5" t="inlineStr">
        <is>
          <t>CY-ELIM-03</t>
        </is>
      </c>
      <c r="G452" s="5" t="inlineStr">
        <is>
          <t>Eliminar un bolsillo desde la pantalla con confirmación</t>
        </is>
      </c>
      <c r="H452" s="5" t="inlineStr">
        <is>
          <t>Sistema (E2E)</t>
        </is>
      </c>
      <c r="I452" s="5" t="inlineStr">
        <is>
          <t>Funcional</t>
        </is>
      </c>
      <c r="J452" s="5" t="inlineStr">
        <is>
          <t>Cypress + Gherkin (Bolsillos)</t>
        </is>
      </c>
      <c r="K452" s="5" t="inlineStr">
        <is>
          <t>e2e/serenity/features/bolsillos/eliminar_bolsillo.feature</t>
        </is>
      </c>
      <c r="L452" s="5" t="inlineStr">
        <is>
          <t>ella tiene el bolsillo "Vacaciones" con 100000; ella ve la notificación "Bolsillo eliminado"; ella ve que su cuenta no tiene bolsillos; el saldo de su cuenta es 500000</t>
        </is>
      </c>
      <c r="M452" s="5" t="inlineStr">
        <is>
          <t>Todos los pasos pasaron</t>
        </is>
      </c>
      <c r="N452" s="7" t="inlineStr">
        <is>
          <t>Aprobado</t>
        </is>
      </c>
      <c r="O452" s="5" t="inlineStr">
        <is>
          <t>2026-10-27</t>
        </is>
      </c>
      <c r="P452" s="5" t="inlineStr">
        <is>
          <t>docs/evidencia-cypress-bolsillos/despues/cucumber-report.html</t>
        </is>
      </c>
      <c r="Q452" s="5" t="inlineStr">
        <is>
          <t>-</t>
        </is>
      </c>
    </row>
    <row r="453">
      <c r="A453" s="5" t="inlineStr">
        <is>
          <t>Stiven Alejandro Bustamante</t>
        </is>
      </c>
      <c r="B453" s="5" t="inlineStr">
        <is>
          <t>Bolsillos</t>
        </is>
      </c>
      <c r="C453" s="5" t="inlineStr">
        <is>
          <t>HU-25</t>
        </is>
      </c>
      <c r="D453" s="5" t="inlineStr">
        <is>
          <t>Eliminar bolsillo</t>
        </is>
      </c>
      <c r="E453" s="5" t="inlineStr">
        <is>
          <t>test-set-0</t>
        </is>
      </c>
      <c r="F453" s="5" t="inlineStr">
        <is>
          <t>KP-delete-api-v1-pockets-by-id-1</t>
        </is>
      </c>
      <c r="G453" s="5" t="inlineStr">
        <is>
          <t>delete-api-v1-pockets-by-id-1</t>
        </is>
      </c>
      <c r="H453" s="5" t="inlineStr">
        <is>
          <t>Integración (API, mocks de Supabase)</t>
        </is>
      </c>
      <c r="I453" s="5" t="inlineStr">
        <is>
          <t>Regresión</t>
        </is>
      </c>
      <c r="J453" s="5" t="inlineStr">
        <is>
          <t>IA · Keploy (Alejandro)</t>
        </is>
      </c>
      <c r="K453" s="5" t="inlineStr">
        <is>
          <t>03-keploy/evidence/test-set-0-saneado/tests/delete-api-v1-pockets-by-id-1.yaml</t>
        </is>
      </c>
      <c r="L453" s="5" t="inlineStr">
        <is>
          <t>Respuesta igual a la grabada (ruido: token, id, Etag)</t>
        </is>
      </c>
      <c r="M453" s="5" t="inlineStr">
        <is>
          <t>Reproducido igual a lo grabado</t>
        </is>
      </c>
      <c r="N453" s="7" t="inlineStr">
        <is>
          <t>Aprobado</t>
        </is>
      </c>
      <c r="O453" s="5" t="inlineStr">
        <is>
          <t>2026-10-27</t>
        </is>
      </c>
      <c r="P453" s="5" t="inlineStr">
        <is>
          <t>03-keploy/evidence/02-replay-con-ruido-50-de-50.txt</t>
        </is>
      </c>
      <c r="Q453" s="5" t="inlineStr">
        <is>
          <t>-</t>
        </is>
      </c>
    </row>
    <row r="454">
      <c r="A454" s="5" t="inlineStr">
        <is>
          <t>Stiven Alejandro Bustamante</t>
        </is>
      </c>
      <c r="B454" s="5" t="inlineStr">
        <is>
          <t>Bolsillos</t>
        </is>
      </c>
      <c r="C454" s="5" t="inlineStr">
        <is>
          <t>HU-25</t>
        </is>
      </c>
      <c r="D454" s="5" t="inlineStr">
        <is>
          <t>Eliminar bolsillo</t>
        </is>
      </c>
      <c r="E454" s="5" t="inlineStr">
        <is>
          <t>test-set-0</t>
        </is>
      </c>
      <c r="F454" s="5" t="inlineStr">
        <is>
          <t>KP-delete-api-v1-pockets-by-id-2</t>
        </is>
      </c>
      <c r="G454" s="5" t="inlineStr">
        <is>
          <t>delete-api-v1-pockets-by-id-2</t>
        </is>
      </c>
      <c r="H454" s="5" t="inlineStr">
        <is>
          <t>Integración (API, mocks de Supabase)</t>
        </is>
      </c>
      <c r="I454" s="5" t="inlineStr">
        <is>
          <t>Regresión</t>
        </is>
      </c>
      <c r="J454" s="5" t="inlineStr">
        <is>
          <t>IA · Keploy (Alejandro)</t>
        </is>
      </c>
      <c r="K454" s="5" t="inlineStr">
        <is>
          <t>03-keploy/evidence/test-set-0-saneado/tests/delete-api-v1-pockets-by-id-2.yaml</t>
        </is>
      </c>
      <c r="L454" s="5" t="inlineStr">
        <is>
          <t>Respuesta igual a la grabada (ruido: token, id, Etag)</t>
        </is>
      </c>
      <c r="M454" s="5" t="inlineStr">
        <is>
          <t>Reproducido igual a lo grabado</t>
        </is>
      </c>
      <c r="N454" s="7" t="inlineStr">
        <is>
          <t>Aprobado</t>
        </is>
      </c>
      <c r="O454" s="5" t="inlineStr">
        <is>
          <t>2026-10-27</t>
        </is>
      </c>
      <c r="P454" s="5" t="inlineStr">
        <is>
          <t>03-keploy/evidence/02-replay-con-ruido-50-de-50.txt</t>
        </is>
      </c>
      <c r="Q454" s="5" t="inlineStr">
        <is>
          <t>-</t>
        </is>
      </c>
    </row>
    <row r="455">
      <c r="A455" s="5" t="inlineStr">
        <is>
          <t>Stiven Alejandro Bustamante</t>
        </is>
      </c>
      <c r="B455" s="5" t="inlineStr">
        <is>
          <t>Bolsillos</t>
        </is>
      </c>
      <c r="C455" s="5" t="inlineStr">
        <is>
          <t>HU-25</t>
        </is>
      </c>
      <c r="D455" s="5" t="inlineStr">
        <is>
          <t>Eliminar bolsillo</t>
        </is>
      </c>
      <c r="E455" s="5" t="inlineStr">
        <is>
          <t>eliminar-bolsillo.spec.ts</t>
        </is>
      </c>
      <c r="F455" s="5" t="inlineStr">
        <is>
          <t>PW-ELI-01</t>
        </is>
      </c>
      <c r="G455" s="5" t="inlineStr">
        <is>
          <t>ELI-01 · Eliminar un bolsillo confirmando el diálogo devuelve su saldo a la cuenta</t>
        </is>
      </c>
      <c r="H455" s="5" t="inlineStr">
        <is>
          <t>Sistema (E2E)</t>
        </is>
      </c>
      <c r="I455" s="5" t="inlineStr">
        <is>
          <t>Funcional</t>
        </is>
      </c>
      <c r="J455" s="5" t="inlineStr">
        <is>
          <t>IA · Playwright Test Agents (Alejandro)</t>
        </is>
      </c>
      <c r="K455" s="5" t="inlineStr">
        <is>
          <t>herramientas-alejandro/01-playwright-test-agents/tests/eliminar-bolsillo.spec.ts</t>
        </is>
      </c>
      <c r="L455" s="5" t="inlineStr">
        <is>
          <t>Según specs/bolsillos-depositar.md</t>
        </is>
      </c>
      <c r="M455" s="5" t="inlineStr">
        <is>
          <t>Pasó</t>
        </is>
      </c>
      <c r="N455" s="7" t="inlineStr">
        <is>
          <t>Aprobado</t>
        </is>
      </c>
      <c r="O455" s="5" t="inlineStr">
        <is>
          <t>2026-10-27</t>
        </is>
      </c>
      <c r="P455" s="5" t="inlineStr">
        <is>
          <t>herramientas-alejandro/01-playwright-test-agents/evidence/html-report</t>
        </is>
      </c>
      <c r="Q455" s="5" t="inlineStr">
        <is>
          <t>-</t>
        </is>
      </c>
    </row>
    <row r="456">
      <c r="A456" s="5" t="inlineStr">
        <is>
          <t>Stiven Alejandro Bustamante</t>
        </is>
      </c>
      <c r="B456" s="5" t="inlineStr">
        <is>
          <t>Bolsillos</t>
        </is>
      </c>
      <c r="C456" s="5" t="inlineStr">
        <is>
          <t>HU-25</t>
        </is>
      </c>
      <c r="D456" s="5" t="inlineStr">
        <is>
          <t>Eliminar bolsillo</t>
        </is>
      </c>
      <c r="E456" s="5" t="inlineStr">
        <is>
          <t>eliminar-bolsillo.spec.ts</t>
        </is>
      </c>
      <c r="F456" s="5" t="inlineStr">
        <is>
          <t>PW-ELI-02</t>
        </is>
      </c>
      <c r="G456" s="5" t="inlineStr">
        <is>
          <t>ELI-02 · Cancelar la confirmación no elimina y eliminar un bolsillo ya borrado muestra un error</t>
        </is>
      </c>
      <c r="H456" s="5" t="inlineStr">
        <is>
          <t>Sistema (E2E)</t>
        </is>
      </c>
      <c r="I456" s="5" t="inlineStr">
        <is>
          <t>Funcional</t>
        </is>
      </c>
      <c r="J456" s="5" t="inlineStr">
        <is>
          <t>IA · Playwright Test Agents (Alejandro)</t>
        </is>
      </c>
      <c r="K456" s="5" t="inlineStr">
        <is>
          <t>herramientas-alejandro/01-playwright-test-agents/tests/eliminar-bolsillo.spec.ts</t>
        </is>
      </c>
      <c r="L456" s="5" t="inlineStr">
        <is>
          <t>Según specs/bolsillos-depositar.md</t>
        </is>
      </c>
      <c r="M456" s="5" t="inlineStr">
        <is>
          <t>Pasó</t>
        </is>
      </c>
      <c r="N456" s="7" t="inlineStr">
        <is>
          <t>Aprobado</t>
        </is>
      </c>
      <c r="O456" s="5" t="inlineStr">
        <is>
          <t>2026-10-27</t>
        </is>
      </c>
      <c r="P456" s="5" t="inlineStr">
        <is>
          <t>herramientas-alejandro/01-playwright-test-agents/evidence/html-report</t>
        </is>
      </c>
      <c r="Q456" s="5" t="inlineStr">
        <is>
          <t>-</t>
        </is>
      </c>
    </row>
    <row r="457">
      <c r="A457" s="5" t="inlineStr">
        <is>
          <t>Stiven Alejandro Bustamante</t>
        </is>
      </c>
      <c r="B457" s="5" t="inlineStr">
        <is>
          <t>Bolsillos</t>
        </is>
      </c>
      <c r="C457" s="5" t="inlineStr">
        <is>
          <t>HU-25</t>
        </is>
      </c>
      <c r="D457" s="5" t="inlineStr">
        <is>
          <t>Eliminar bolsillo</t>
        </is>
      </c>
      <c r="E457" s="5" t="inlineStr">
        <is>
          <t>05 Eliminar bolsillo</t>
        </is>
      </c>
      <c r="F457" s="5" t="inlineStr">
        <is>
          <t>PM-EL-01</t>
        </is>
      </c>
      <c r="G457" s="5" t="inlineStr">
        <is>
          <t>No eliminar el bolsillo de otro cliente</t>
        </is>
      </c>
      <c r="H457" s="5" t="inlineStr">
        <is>
          <t>Integración (API)</t>
        </is>
      </c>
      <c r="I457" s="5" t="inlineStr">
        <is>
          <t>Funcional</t>
        </is>
      </c>
      <c r="J457" s="5" t="inlineStr">
        <is>
          <t>IA · Postman + Newman (Alejandro)</t>
        </is>
      </c>
      <c r="K457" s="5" t="inlineStr">
        <is>
          <t>herramientas-alejandro/02-postman-postbot</t>
        </is>
      </c>
      <c r="L457" s="5" t="inlineStr">
        <is>
          <t>Ver descripción del request</t>
        </is>
      </c>
      <c r="M457" s="5" t="inlineStr">
        <is>
          <t>5/5 aserciones</t>
        </is>
      </c>
      <c r="N457" s="7" t="inlineStr">
        <is>
          <t>Aprobado</t>
        </is>
      </c>
      <c r="O457" s="5" t="inlineStr">
        <is>
          <t>2026-10-27</t>
        </is>
      </c>
      <c r="P457" s="5" t="inlineStr">
        <is>
          <t>02-postman-postbot/evidence/newman-report.html</t>
        </is>
      </c>
      <c r="Q457" s="5" t="inlineStr">
        <is>
          <t>-</t>
        </is>
      </c>
    </row>
    <row r="458">
      <c r="A458" s="5" t="inlineStr">
        <is>
          <t>Stiven Alejandro Bustamante</t>
        </is>
      </c>
      <c r="B458" s="5" t="inlineStr">
        <is>
          <t>Bolsillos</t>
        </is>
      </c>
      <c r="C458" s="5" t="inlineStr">
        <is>
          <t>HU-25</t>
        </is>
      </c>
      <c r="D458" s="5" t="inlineStr">
        <is>
          <t>Eliminar bolsillo</t>
        </is>
      </c>
      <c r="E458" s="5" t="inlineStr">
        <is>
          <t>05 Eliminar bolsillo</t>
        </is>
      </c>
      <c r="F458" s="5" t="inlineStr">
        <is>
          <t>PM-EL-02</t>
        </is>
      </c>
      <c r="G458" s="5" t="inlineStr">
        <is>
          <t>Eliminar "Mercado"</t>
        </is>
      </c>
      <c r="H458" s="5" t="inlineStr">
        <is>
          <t>Integración (API)</t>
        </is>
      </c>
      <c r="I458" s="5" t="inlineStr">
        <is>
          <t>Funcional</t>
        </is>
      </c>
      <c r="J458" s="5" t="inlineStr">
        <is>
          <t>IA · Postman + Newman (Alejandro)</t>
        </is>
      </c>
      <c r="K458" s="5" t="inlineStr">
        <is>
          <t>herramientas-alejandro/02-postman-postbot</t>
        </is>
      </c>
      <c r="L458" s="5" t="inlineStr">
        <is>
          <t>Ver descripción del request</t>
        </is>
      </c>
      <c r="M458" s="5" t="inlineStr">
        <is>
          <t>5/5 aserciones</t>
        </is>
      </c>
      <c r="N458" s="7" t="inlineStr">
        <is>
          <t>Aprobado</t>
        </is>
      </c>
      <c r="O458" s="5" t="inlineStr">
        <is>
          <t>2026-10-27</t>
        </is>
      </c>
      <c r="P458" s="5" t="inlineStr">
        <is>
          <t>02-postman-postbot/evidence/newman-report.html</t>
        </is>
      </c>
      <c r="Q458" s="5" t="inlineStr">
        <is>
          <t>-</t>
        </is>
      </c>
    </row>
    <row r="459">
      <c r="A459" s="5" t="inlineStr">
        <is>
          <t>Stiven Alejandro Bustamante</t>
        </is>
      </c>
      <c r="B459" s="5" t="inlineStr">
        <is>
          <t>Bolsillos</t>
        </is>
      </c>
      <c r="C459" s="5" t="inlineStr">
        <is>
          <t>HU-25</t>
        </is>
      </c>
      <c r="D459" s="5" t="inlineStr">
        <is>
          <t>Eliminar bolsillo</t>
        </is>
      </c>
      <c r="E459" s="5" t="inlineStr">
        <is>
          <t>Katalon Recorder</t>
        </is>
      </c>
      <c r="F459" s="5" t="inlineStr">
        <is>
          <t>Suite_04_Eliminar_bolsillo</t>
        </is>
      </c>
      <c r="G459" s="5" t="inlineStr">
        <is>
          <t>Suite_04_Eliminar_bolsillo (casos TC-1xx)</t>
        </is>
      </c>
      <c r="H459" s="5" t="inlineStr">
        <is>
          <t>Sistema (E2E)</t>
        </is>
      </c>
      <c r="I459" s="5" t="inlineStr">
        <is>
          <t>Funcional</t>
        </is>
      </c>
      <c r="J459" s="5" t="inlineStr">
        <is>
          <t>Katalon Recorder</t>
        </is>
      </c>
      <c r="K459" s="5" t="inlineStr">
        <is>
          <t>katalon/suites/Suite_04_Eliminar_bolsillo.html</t>
        </is>
      </c>
      <c r="L459" s="5" t="inlineStr">
        <is>
          <t>Todos los casos de la suite pasan</t>
        </is>
      </c>
      <c r="M459" s="5" t="inlineStr">
        <is>
          <t>Parte de la corrida 52/52 en KR7</t>
        </is>
      </c>
      <c r="N459" s="7" t="inlineStr">
        <is>
          <t>Aprobado</t>
        </is>
      </c>
      <c r="O459" s="5" t="inlineStr">
        <is>
          <t>2026-10-10</t>
        </is>
      </c>
      <c r="P459" s="5" t="inlineStr">
        <is>
          <t>katalon/evidencias/</t>
        </is>
      </c>
      <c r="Q459" s="5" t="inlineStr">
        <is>
          <t>-</t>
        </is>
      </c>
    </row>
    <row r="460">
      <c r="A460" s="5" t="inlineStr">
        <is>
          <t>Stiven Alejandro Bustamante</t>
        </is>
      </c>
      <c r="B460" s="5" t="inlineStr">
        <is>
          <t>Bolsillos</t>
        </is>
      </c>
      <c r="C460" s="5" t="inlineStr">
        <is>
          <t>HU-25</t>
        </is>
      </c>
      <c r="D460" s="5" t="inlineStr">
        <is>
          <t>Eliminar bolsillo</t>
        </is>
      </c>
      <c r="E460" s="5" t="inlineStr">
        <is>
          <t>eliminar_bolsillo.feature</t>
        </is>
      </c>
      <c r="F460" s="5" t="inlineStr">
        <is>
          <t>SJ-ELIM-01</t>
        </is>
      </c>
      <c r="G460" s="5" t="inlineStr">
        <is>
          <t>Eliminar un bolsillo devuelve su saldo a la cuenta</t>
        </is>
      </c>
      <c r="H460" s="5" t="inlineStr">
        <is>
          <t>Integración (API)</t>
        </is>
      </c>
      <c r="I460" s="5" t="inlineStr">
        <is>
          <t>Funcional</t>
        </is>
      </c>
      <c r="J460" s="5" t="inlineStr">
        <is>
          <t>Serenity/JS Screenplay + Gherkin</t>
        </is>
      </c>
      <c r="K460" s="5" t="inlineStr">
        <is>
          <t>features/bolsillos/eliminar_bolsillo.feature</t>
        </is>
      </c>
      <c r="L460" s="5" t="inlineStr">
        <is>
          <t>ella tiene el bolsillo "Vacaciones" con 100000; la respuesta HTTP tiene estado 200; el saldo de su cuenta es 500000; su cuenta no tiene bolsillos</t>
        </is>
      </c>
      <c r="M460" s="5" t="inlineStr">
        <is>
          <t>Todos los pasos pasaron</t>
        </is>
      </c>
      <c r="N460" s="7" t="inlineStr">
        <is>
          <t>Aprobado</t>
        </is>
      </c>
      <c r="O460" s="5" t="inlineStr">
        <is>
          <t>2026-10-27</t>
        </is>
      </c>
      <c r="P460" s="5" t="inlineStr">
        <is>
          <t>docs/evidencia-final-equipo/serenity-equipo-corrida.txt</t>
        </is>
      </c>
      <c r="Q460" s="5" t="inlineStr">
        <is>
          <t>-</t>
        </is>
      </c>
    </row>
    <row r="461">
      <c r="A461" s="5" t="inlineStr">
        <is>
          <t>Stiven Alejandro Bustamante</t>
        </is>
      </c>
      <c r="B461" s="5" t="inlineStr">
        <is>
          <t>Bolsillos</t>
        </is>
      </c>
      <c r="C461" s="5" t="inlineStr">
        <is>
          <t>HU-25</t>
        </is>
      </c>
      <c r="D461" s="5" t="inlineStr">
        <is>
          <t>Eliminar bolsillo</t>
        </is>
      </c>
      <c r="E461" s="5" t="inlineStr">
        <is>
          <t>eliminar_bolsillo.feature</t>
        </is>
      </c>
      <c r="F461" s="5" t="inlineStr">
        <is>
          <t>SJ-ELIM-02</t>
        </is>
      </c>
      <c r="G461" s="5" t="inlineStr">
        <is>
          <t>No se puede eliminar el bolsillo de otro cliente</t>
        </is>
      </c>
      <c r="H461" s="5" t="inlineStr">
        <is>
          <t>Integración (API)</t>
        </is>
      </c>
      <c r="I461" s="5" t="inlineStr">
        <is>
          <t>Seguridad</t>
        </is>
      </c>
      <c r="J461" s="5" t="inlineStr">
        <is>
          <t>Serenity/JS Screenplay + Gherkin</t>
        </is>
      </c>
      <c r="K461" s="5" t="inlineStr">
        <is>
          <t>features/bolsillos/eliminar_bolsillo.feature</t>
        </is>
      </c>
      <c r="L461" s="5" t="inlineStr">
        <is>
          <t>ella tiene el bolsillo "Vacaciones" con 100000; él tiene el bolsillo "Moto" con 50000; la respuesta HTTP tiene estado 403; el código de error es "FORBIDDEN"; el saldo de la cuenta de Bruno es 50000</t>
        </is>
      </c>
      <c r="M461" s="5" t="inlineStr">
        <is>
          <t>Todos los pasos pasaron</t>
        </is>
      </c>
      <c r="N461" s="7" t="inlineStr">
        <is>
          <t>Aprobado</t>
        </is>
      </c>
      <c r="O461" s="5" t="inlineStr">
        <is>
          <t>2026-10-27</t>
        </is>
      </c>
      <c r="P461" s="5" t="inlineStr">
        <is>
          <t>docs/evidencia-final-equipo/serenity-equipo-corrida.txt</t>
        </is>
      </c>
      <c r="Q461" s="5" t="inlineStr">
        <is>
          <t>-</t>
        </is>
      </c>
    </row>
    <row r="462">
      <c r="A462" s="5" t="inlineStr">
        <is>
          <t>Stiven Alejandro Bustamante</t>
        </is>
      </c>
      <c r="B462" s="5" t="inlineStr">
        <is>
          <t>Bolsillos</t>
        </is>
      </c>
      <c r="C462" s="5" t="inlineStr">
        <is>
          <t>HU-25</t>
        </is>
      </c>
      <c r="D462" s="5" t="inlineStr">
        <is>
          <t>Eliminar bolsillo</t>
        </is>
      </c>
      <c r="E462" s="5" t="inlineStr">
        <is>
          <t>eliminar_bolsillo.feature</t>
        </is>
      </c>
      <c r="F462" s="5" t="inlineStr">
        <is>
          <t>SJ-ELIM-03</t>
        </is>
      </c>
      <c r="G462" s="5" t="inlineStr">
        <is>
          <t>Eliminar un bolsillo desde la pantalla con confirmación</t>
        </is>
      </c>
      <c r="H462" s="5" t="inlineStr">
        <is>
          <t>Sistema (E2E)</t>
        </is>
      </c>
      <c r="I462" s="5" t="inlineStr">
        <is>
          <t>Funcional</t>
        </is>
      </c>
      <c r="J462" s="5" t="inlineStr">
        <is>
          <t>Serenity/JS Screenplay + Gherkin</t>
        </is>
      </c>
      <c r="K462" s="5" t="inlineStr">
        <is>
          <t>features/bolsillos/eliminar_bolsillo.feature</t>
        </is>
      </c>
      <c r="L462" s="5" t="inlineStr">
        <is>
          <t>ella tiene el bolsillo "Vacaciones" con 100000; ella ve la notificación "Bolsillo eliminado"; ella ve que su cuenta no tiene bolsillos; el saldo de su cuenta es 500000</t>
        </is>
      </c>
      <c r="M462" s="5" t="inlineStr">
        <is>
          <t>Todos los pasos pasaron</t>
        </is>
      </c>
      <c r="N462" s="7" t="inlineStr">
        <is>
          <t>Aprobado</t>
        </is>
      </c>
      <c r="O462" s="5" t="inlineStr">
        <is>
          <t>2026-10-27</t>
        </is>
      </c>
      <c r="P462" s="5" t="inlineStr">
        <is>
          <t>docs/evidencia-final-equipo/serenity-equipo-corrida.txt</t>
        </is>
      </c>
      <c r="Q462" s="5" t="inlineStr">
        <is>
          <t>-</t>
        </is>
      </c>
    </row>
    <row r="463">
      <c r="A463" s="5" t="inlineStr">
        <is>
          <t>Stiven Alejandro Bustamante</t>
        </is>
      </c>
      <c r="B463" s="5" t="inlineStr">
        <is>
          <t>Bolsillos</t>
        </is>
      </c>
      <c r="C463" s="5" t="inlineStr">
        <is>
          <t>HU-25</t>
        </is>
      </c>
      <c r="D463" s="5" t="inlineStr">
        <is>
          <t>Eliminar bolsillo</t>
        </is>
      </c>
      <c r="E463" s="5" t="inlineStr">
        <is>
          <t>Stagehand</t>
        </is>
      </c>
      <c r="F463" s="5" t="inlineStr">
        <is>
          <t>SH-B04</t>
        </is>
      </c>
      <c r="G463" s="5" t="inlineStr">
        <is>
          <t>La IA elimina un bolsillo pasando por el diálogo de confirmación.</t>
        </is>
      </c>
      <c r="H463" s="5" t="inlineStr">
        <is>
          <t>Sistema (E2E con IA)</t>
        </is>
      </c>
      <c r="I463" s="5" t="inlineStr">
        <is>
          <t>Funcional</t>
        </is>
      </c>
      <c r="J463" s="5" t="inlineStr">
        <is>
          <t>Stagehand (google/gemini-3.5-flash-lite)</t>
        </is>
      </c>
      <c r="K463" s="5" t="inlineStr">
        <is>
          <t>e2e/stagehand/src/bolsillos/scenarios.ts</t>
        </is>
      </c>
      <c r="L463" s="5" t="inlineStr">
        <is>
          <t>Toast "Bolsillo eliminado", mensaje de lista vacía y el saldo vuelve a 500.000.</t>
        </is>
      </c>
      <c r="M463" s="5" t="inlineStr">
        <is>
          <t>6/6 validaciones correctas</t>
        </is>
      </c>
      <c r="N463" s="7" t="inlineStr">
        <is>
          <t>Aprobado</t>
        </is>
      </c>
      <c r="O463" s="5" t="inlineStr">
        <is>
          <t>2026-10-27</t>
        </is>
      </c>
      <c r="P463" s="5" t="inlineStr">
        <is>
          <t>e2e/stagehand/evidence/bolsillos/SH-B04-report.json</t>
        </is>
      </c>
      <c r="Q463" s="5" t="inlineStr">
        <is>
          <t>-</t>
        </is>
      </c>
    </row>
    <row r="464">
      <c r="A464" s="5" t="inlineStr">
        <is>
          <t>Stiven Alejandro Bustamante</t>
        </is>
      </c>
      <c r="B464" s="5" t="inlineStr">
        <is>
          <t>Bolsillos</t>
        </is>
      </c>
      <c r="C464" s="5" t="inlineStr">
        <is>
          <t>HU-25</t>
        </is>
      </c>
      <c r="D464" s="5" t="inlineStr">
        <is>
          <t>Eliminar bolsillo</t>
        </is>
      </c>
      <c r="E464" s="5" t="inlineStr">
        <is>
          <t>Vitest backend · unitaria</t>
        </is>
      </c>
      <c r="F464" s="5" t="inlineStr">
        <is>
          <t>VT-DeletePocket.test</t>
        </is>
      </c>
      <c r="G464" s="5" t="inlineStr">
        <is>
          <t>DeletePocket.test.ts (7 pruebas)</t>
        </is>
      </c>
      <c r="H464" s="5" t="inlineStr">
        <is>
          <t>Unitaria / Integración</t>
        </is>
      </c>
      <c r="I464" s="5" t="inlineStr">
        <is>
          <t>Funcional</t>
        </is>
      </c>
      <c r="J464" s="5" t="inlineStr">
        <is>
          <t>Vitest backend</t>
        </is>
      </c>
      <c r="K464" s="5" t="inlineStr">
        <is>
          <t>backend/src/tests/unit/pocket/DeletePocket.test.ts</t>
        </is>
      </c>
      <c r="L464" s="5" t="inlineStr">
        <is>
          <t>Todas las pruebas del archivo pasan</t>
        </is>
      </c>
      <c r="M464" s="5" t="inlineStr">
        <is>
          <t>7/7 pasan</t>
        </is>
      </c>
      <c r="N464" s="7" t="inlineStr">
        <is>
          <t>Aprobado</t>
        </is>
      </c>
      <c r="O464" s="5" t="inlineStr">
        <is>
          <t>2026-10-27</t>
        </is>
      </c>
      <c r="P464" s="5" t="inlineStr">
        <is>
          <t>docs/evidencia-final-equipo/vitest-backend.json</t>
        </is>
      </c>
      <c r="Q464" s="5" t="inlineStr">
        <is>
          <t>-</t>
        </is>
      </c>
    </row>
    <row r="465">
      <c r="A465" s="5" t="inlineStr">
        <is>
          <t>Stiven Alejandro Bustamante</t>
        </is>
      </c>
      <c r="B465" s="5" t="inlineStr">
        <is>
          <t>Bolsillos</t>
        </is>
      </c>
      <c r="C465" s="5" t="inlineStr">
        <is>
          <t>HU-25</t>
        </is>
      </c>
      <c r="D465" s="5" t="inlineStr">
        <is>
          <t>Eliminar bolsillo</t>
        </is>
      </c>
      <c r="E465" s="5" t="inlineStr">
        <is>
          <t>Vitest backend · regresión</t>
        </is>
      </c>
      <c r="F465" s="5" t="inlineStr">
        <is>
          <t>VT-eliminar.regression.test</t>
        </is>
      </c>
      <c r="G465" s="5" t="inlineStr">
        <is>
          <t>eliminar.regression.test.ts (10 pruebas)</t>
        </is>
      </c>
      <c r="H465" s="5" t="inlineStr">
        <is>
          <t>Unitaria / Integración</t>
        </is>
      </c>
      <c r="I465" s="5" t="inlineStr">
        <is>
          <t>Funcional</t>
        </is>
      </c>
      <c r="J465" s="5" t="inlineStr">
        <is>
          <t>Vitest backend</t>
        </is>
      </c>
      <c r="K465" s="5" t="inlineStr">
        <is>
          <t>backend/src/tests/regression/pocket/eliminar.regression.test.ts</t>
        </is>
      </c>
      <c r="L465" s="5" t="inlineStr">
        <is>
          <t>Todas las pruebas del archivo pasan</t>
        </is>
      </c>
      <c r="M465" s="5" t="inlineStr">
        <is>
          <t>10/10 pasan</t>
        </is>
      </c>
      <c r="N465" s="7" t="inlineStr">
        <is>
          <t>Aprobado</t>
        </is>
      </c>
      <c r="O465" s="5" t="inlineStr">
        <is>
          <t>2026-10-27</t>
        </is>
      </c>
      <c r="P465" s="5" t="inlineStr">
        <is>
          <t>docs/evidencia-final-equipo/vitest-backend.json</t>
        </is>
      </c>
      <c r="Q465" s="5" t="inlineStr">
        <is>
          <t>-</t>
        </is>
      </c>
    </row>
    <row r="466">
      <c r="A466" s="5" t="inlineStr">
        <is>
          <t>Stiven Alejandro Bustamante</t>
        </is>
      </c>
      <c r="B466" s="5" t="inlineStr">
        <is>
          <t>Bolsillos</t>
        </is>
      </c>
      <c r="C466" s="5" t="inlineStr">
        <is>
          <t>HU-26</t>
        </is>
      </c>
      <c r="D466" s="5" t="inlineStr">
        <is>
          <t>Transferir entre bolsillos</t>
        </is>
      </c>
      <c r="E466" s="5" t="inlineStr">
        <is>
          <t>ESC040</t>
        </is>
      </c>
      <c r="F466" s="5" t="inlineStr">
        <is>
          <t>TC-134</t>
        </is>
      </c>
      <c r="G466" s="5" t="inlineStr">
        <is>
          <t>Transferencia parcial</t>
        </is>
      </c>
      <c r="H466" s="5" t="inlineStr">
        <is>
          <t>Integración</t>
        </is>
      </c>
      <c r="I466" s="5" t="inlineStr">
        <is>
          <t>Funcional</t>
        </is>
      </c>
      <c r="J466" s="5" t="inlineStr">
        <is>
          <t>Casos del Excel (diseño + ejecución manual)</t>
        </is>
      </c>
      <c r="K466" s="5" t="inlineStr">
        <is>
          <t>Casos y Escenarios FuBank.xlsx</t>
        </is>
      </c>
      <c r="L466" s="5" t="inlineStr">
        <is>
          <t>Se agrega un monto menor al saldo de la cuenta; el sistema ajusta ambos saldos</t>
        </is>
      </c>
      <c r="M466" s="5" t="inlineStr">
        <is>
          <t>Según lo esperado</t>
        </is>
      </c>
      <c r="N466" s="7" t="inlineStr">
        <is>
          <t>Aprobado</t>
        </is>
      </c>
      <c r="O466" s="5" t="inlineStr">
        <is>
          <t>2026-10-10</t>
        </is>
      </c>
      <c r="P466" s="5" t="inlineStr">
        <is>
          <t>Excel (hoja Casos de Prueba Detallado)</t>
        </is>
      </c>
      <c r="Q466" s="5" t="inlineStr">
        <is>
          <t>-</t>
        </is>
      </c>
    </row>
    <row r="467">
      <c r="A467" s="5" t="inlineStr">
        <is>
          <t>Stiven Alejandro Bustamante</t>
        </is>
      </c>
      <c r="B467" s="5" t="inlineStr">
        <is>
          <t>Bolsillos</t>
        </is>
      </c>
      <c r="C467" s="5" t="inlineStr">
        <is>
          <t>HU-26</t>
        </is>
      </c>
      <c r="D467" s="5" t="inlineStr">
        <is>
          <t>Transferir entre bolsillos</t>
        </is>
      </c>
      <c r="E467" s="5" t="inlineStr">
        <is>
          <t>ESC040</t>
        </is>
      </c>
      <c r="F467" s="5" t="inlineStr">
        <is>
          <t>TC-135</t>
        </is>
      </c>
      <c r="G467" s="5" t="inlineStr">
        <is>
          <t>Transferir todo el saldo (límite)</t>
        </is>
      </c>
      <c r="H467" s="5" t="inlineStr">
        <is>
          <t>Integración</t>
        </is>
      </c>
      <c r="I467" s="5" t="inlineStr">
        <is>
          <t>Funcional</t>
        </is>
      </c>
      <c r="J467" s="5" t="inlineStr">
        <is>
          <t>Casos del Excel (diseño + ejecución manual)</t>
        </is>
      </c>
      <c r="K467" s="5" t="inlineStr">
        <is>
          <t>Casos y Escenarios FuBank.xlsx</t>
        </is>
      </c>
      <c r="L467" s="5" t="inlineStr">
        <is>
          <t>Se agrega todo el saldo de la cuenta al un bolsillo; la cuenta queda en 0 y el bolsillo recibe el monto</t>
        </is>
      </c>
      <c r="M467" s="5" t="inlineStr">
        <is>
          <t>Según lo esperado</t>
        </is>
      </c>
      <c r="N467" s="7" t="inlineStr">
        <is>
          <t>Aprobado</t>
        </is>
      </c>
      <c r="O467" s="5" t="inlineStr">
        <is>
          <t>2026-10-10</t>
        </is>
      </c>
      <c r="P467" s="5" t="inlineStr">
        <is>
          <t>Excel (hoja Casos de Prueba Detallado)</t>
        </is>
      </c>
      <c r="Q467" s="5" t="inlineStr">
        <is>
          <t>-</t>
        </is>
      </c>
    </row>
    <row r="468">
      <c r="A468" s="5" t="inlineStr">
        <is>
          <t>Stiven Alejandro Bustamante</t>
        </is>
      </c>
      <c r="B468" s="5" t="inlineStr">
        <is>
          <t>Bolsillos</t>
        </is>
      </c>
      <c r="C468" s="5" t="inlineStr">
        <is>
          <t>HU-26</t>
        </is>
      </c>
      <c r="D468" s="5" t="inlineStr">
        <is>
          <t>Transferir entre bolsillos</t>
        </is>
      </c>
      <c r="E468" s="5" t="inlineStr">
        <is>
          <t>ESC040</t>
        </is>
      </c>
      <c r="F468" s="5" t="inlineStr">
        <is>
          <t>TC-136</t>
        </is>
      </c>
      <c r="G468" s="5" t="inlineStr">
        <is>
          <t>Transferir monto mayor al saldo</t>
        </is>
      </c>
      <c r="H468" s="5" t="inlineStr">
        <is>
          <t>Integración</t>
        </is>
      </c>
      <c r="I468" s="5" t="inlineStr">
        <is>
          <t>Funcional</t>
        </is>
      </c>
      <c r="J468" s="5" t="inlineStr">
        <is>
          <t>Casos del Excel (diseño + ejecución manual)</t>
        </is>
      </c>
      <c r="K468" s="5" t="inlineStr">
        <is>
          <t>Casos y Escenarios FuBank.xlsx</t>
        </is>
      </c>
      <c r="L468" s="5" t="inlineStr">
        <is>
          <t>Se agrega un monto mayor al saldo disponible de la cuenta; el sistema no lo permite.</t>
        </is>
      </c>
      <c r="M468" s="5" t="inlineStr">
        <is>
          <t>Según lo esperado</t>
        </is>
      </c>
      <c r="N468" s="7" t="inlineStr">
        <is>
          <t>Aprobado</t>
        </is>
      </c>
      <c r="O468" s="5" t="inlineStr">
        <is>
          <t>2026-10-10</t>
        </is>
      </c>
      <c r="P468" s="5" t="inlineStr">
        <is>
          <t>Excel (hoja Casos de Prueba Detallado)</t>
        </is>
      </c>
      <c r="Q468" s="5" t="inlineStr">
        <is>
          <t>-</t>
        </is>
      </c>
    </row>
    <row r="469">
      <c r="A469" s="5" t="inlineStr">
        <is>
          <t>Stiven Alejandro Bustamante</t>
        </is>
      </c>
      <c r="B469" s="5" t="inlineStr">
        <is>
          <t>Bolsillos</t>
        </is>
      </c>
      <c r="C469" s="5" t="inlineStr">
        <is>
          <t>HU-26</t>
        </is>
      </c>
      <c r="D469" s="5" t="inlineStr">
        <is>
          <t>Transferir entre bolsillos</t>
        </is>
      </c>
      <c r="E469" s="5" t="inlineStr">
        <is>
          <t>ESC040</t>
        </is>
      </c>
      <c r="F469" s="5" t="inlineStr">
        <is>
          <t>TC-137</t>
        </is>
      </c>
      <c r="G469" s="5" t="inlineStr">
        <is>
          <t>Transferir monto negativo</t>
        </is>
      </c>
      <c r="H469" s="5" t="inlineStr">
        <is>
          <t>Integración</t>
        </is>
      </c>
      <c r="I469" s="5" t="inlineStr">
        <is>
          <t>Funcional</t>
        </is>
      </c>
      <c r="J469" s="5" t="inlineStr">
        <is>
          <t>Casos del Excel (diseño + ejecución manual)</t>
        </is>
      </c>
      <c r="K469" s="5" t="inlineStr">
        <is>
          <t>Casos y Escenarios FuBank.xlsx</t>
        </is>
      </c>
      <c r="L469" s="5" t="inlineStr">
        <is>
          <t>Se agrega un monto negativo; el sistema no lo permite.</t>
        </is>
      </c>
      <c r="M469" s="5" t="inlineStr">
        <is>
          <t>Según lo esperado</t>
        </is>
      </c>
      <c r="N469" s="7" t="inlineStr">
        <is>
          <t>Aprobado</t>
        </is>
      </c>
      <c r="O469" s="5" t="inlineStr">
        <is>
          <t>2026-10-10</t>
        </is>
      </c>
      <c r="P469" s="5" t="inlineStr">
        <is>
          <t>Excel (hoja Casos de Prueba Detallado)</t>
        </is>
      </c>
      <c r="Q469" s="5" t="inlineStr">
        <is>
          <t>-</t>
        </is>
      </c>
    </row>
    <row r="470">
      <c r="A470" s="5" t="inlineStr">
        <is>
          <t>Stiven Alejandro Bustamante</t>
        </is>
      </c>
      <c r="B470" s="5" t="inlineStr">
        <is>
          <t>Bolsillos</t>
        </is>
      </c>
      <c r="C470" s="5" t="inlineStr">
        <is>
          <t>HU-26</t>
        </is>
      </c>
      <c r="D470" s="5" t="inlineStr">
        <is>
          <t>Transferir entre bolsillos</t>
        </is>
      </c>
      <c r="E470" s="5" t="inlineStr">
        <is>
          <t>ESC041</t>
        </is>
      </c>
      <c r="F470" s="5" t="inlineStr">
        <is>
          <t>TC-138</t>
        </is>
      </c>
      <c r="G470" s="5" t="inlineStr">
        <is>
          <t>Retirar monto parcial</t>
        </is>
      </c>
      <c r="H470" s="5" t="inlineStr">
        <is>
          <t>Integración</t>
        </is>
      </c>
      <c r="I470" s="5" t="inlineStr">
        <is>
          <t>Funcional</t>
        </is>
      </c>
      <c r="J470" s="5" t="inlineStr">
        <is>
          <t>Casos del Excel (diseño + ejecución manual)</t>
        </is>
      </c>
      <c r="K470" s="5" t="inlineStr">
        <is>
          <t>Casos y Escenarios FuBank.xlsx</t>
        </is>
      </c>
      <c r="L470" s="5" t="inlineStr">
        <is>
          <t>Se retira un monto menor al saldo disponible del bolsillo y se ve reflejado en la cuenta; el sistema lo permite</t>
        </is>
      </c>
      <c r="M470" s="5" t="inlineStr">
        <is>
          <t>Según lo esperado</t>
        </is>
      </c>
      <c r="N470" s="7" t="inlineStr">
        <is>
          <t>Aprobado</t>
        </is>
      </c>
      <c r="O470" s="5" t="inlineStr">
        <is>
          <t>2026-10-10</t>
        </is>
      </c>
      <c r="P470" s="5" t="inlineStr">
        <is>
          <t>Excel (hoja Casos de Prueba Detallado)</t>
        </is>
      </c>
      <c r="Q470" s="5" t="inlineStr">
        <is>
          <t>-</t>
        </is>
      </c>
    </row>
    <row r="471">
      <c r="A471" s="5" t="inlineStr">
        <is>
          <t>Stiven Alejandro Bustamante</t>
        </is>
      </c>
      <c r="B471" s="5" t="inlineStr">
        <is>
          <t>Bolsillos</t>
        </is>
      </c>
      <c r="C471" s="5" t="inlineStr">
        <is>
          <t>HU-26</t>
        </is>
      </c>
      <c r="D471" s="5" t="inlineStr">
        <is>
          <t>Transferir entre bolsillos</t>
        </is>
      </c>
      <c r="E471" s="5" t="inlineStr">
        <is>
          <t>ESC041</t>
        </is>
      </c>
      <c r="F471" s="5" t="inlineStr">
        <is>
          <t>TC-139</t>
        </is>
      </c>
      <c r="G471" s="5" t="inlineStr">
        <is>
          <t>Retirar todo el saldo</t>
        </is>
      </c>
      <c r="H471" s="5" t="inlineStr">
        <is>
          <t>Integración</t>
        </is>
      </c>
      <c r="I471" s="5" t="inlineStr">
        <is>
          <t>Funcional</t>
        </is>
      </c>
      <c r="J471" s="5" t="inlineStr">
        <is>
          <t>Casos del Excel (diseño + ejecución manual)</t>
        </is>
      </c>
      <c r="K471" s="5" t="inlineStr">
        <is>
          <t>Casos y Escenarios FuBank.xlsx</t>
        </is>
      </c>
      <c r="L471" s="5" t="inlineStr">
        <is>
          <t>Se retira todo el saldo disponible del bolsillo y se ve reflejado en la cuenta; el sistema lo permite</t>
        </is>
      </c>
      <c r="M471" s="5" t="inlineStr">
        <is>
          <t>Según lo esperado</t>
        </is>
      </c>
      <c r="N471" s="7" t="inlineStr">
        <is>
          <t>Aprobado</t>
        </is>
      </c>
      <c r="O471" s="5" t="inlineStr">
        <is>
          <t>2026-10-10</t>
        </is>
      </c>
      <c r="P471" s="5" t="inlineStr">
        <is>
          <t>Excel (hoja Casos de Prueba Detallado)</t>
        </is>
      </c>
      <c r="Q471" s="5" t="inlineStr">
        <is>
          <t>-</t>
        </is>
      </c>
    </row>
    <row r="472">
      <c r="A472" s="5" t="inlineStr">
        <is>
          <t>Stiven Alejandro Bustamante</t>
        </is>
      </c>
      <c r="B472" s="5" t="inlineStr">
        <is>
          <t>Bolsillos</t>
        </is>
      </c>
      <c r="C472" s="5" t="inlineStr">
        <is>
          <t>HU-26</t>
        </is>
      </c>
      <c r="D472" s="5" t="inlineStr">
        <is>
          <t>Transferir entre bolsillos</t>
        </is>
      </c>
      <c r="E472" s="5" t="inlineStr">
        <is>
          <t>ESC041</t>
        </is>
      </c>
      <c r="F472" s="5" t="inlineStr">
        <is>
          <t>TC-140</t>
        </is>
      </c>
      <c r="G472" s="5" t="inlineStr">
        <is>
          <t>Retirar monto mayor al saldo</t>
        </is>
      </c>
      <c r="H472" s="5" t="inlineStr">
        <is>
          <t>Unitaria</t>
        </is>
      </c>
      <c r="I472" s="5" t="inlineStr">
        <is>
          <t>Funcional</t>
        </is>
      </c>
      <c r="J472" s="5" t="inlineStr">
        <is>
          <t>Casos del Excel (diseño + ejecución manual)</t>
        </is>
      </c>
      <c r="K472" s="5" t="inlineStr">
        <is>
          <t>Casos y Escenarios FuBank.xlsx</t>
        </is>
      </c>
      <c r="L472" s="5" t="inlineStr">
        <is>
          <t>Se retira un monto mayor al saldo del bolsillo; el sistema no lo permite</t>
        </is>
      </c>
      <c r="M472" s="5" t="inlineStr">
        <is>
          <t>Según lo esperado</t>
        </is>
      </c>
      <c r="N472" s="7" t="inlineStr">
        <is>
          <t>Aprobado</t>
        </is>
      </c>
      <c r="O472" s="5" t="inlineStr">
        <is>
          <t>2026-10-10</t>
        </is>
      </c>
      <c r="P472" s="5" t="inlineStr">
        <is>
          <t>Excel (hoja Casos de Prueba Detallado)</t>
        </is>
      </c>
      <c r="Q472" s="5" t="inlineStr">
        <is>
          <t>-</t>
        </is>
      </c>
    </row>
    <row r="473">
      <c r="A473" s="5" t="inlineStr">
        <is>
          <t>Stiven Alejandro Bustamante</t>
        </is>
      </c>
      <c r="B473" s="5" t="inlineStr">
        <is>
          <t>Bolsillos</t>
        </is>
      </c>
      <c r="C473" s="5" t="inlineStr">
        <is>
          <t>HU-26</t>
        </is>
      </c>
      <c r="D473" s="5" t="inlineStr">
        <is>
          <t>Transferir entre bolsillos</t>
        </is>
      </c>
      <c r="E473" s="5" t="inlineStr">
        <is>
          <t>ESC041</t>
        </is>
      </c>
      <c r="F473" s="5" t="inlineStr">
        <is>
          <t>TC-141</t>
        </is>
      </c>
      <c r="G473" s="5" t="inlineStr">
        <is>
          <t>Retirar un monto negativo</t>
        </is>
      </c>
      <c r="H473" s="5" t="inlineStr">
        <is>
          <t>Unitaria</t>
        </is>
      </c>
      <c r="I473" s="5" t="inlineStr">
        <is>
          <t>Funcional</t>
        </is>
      </c>
      <c r="J473" s="5" t="inlineStr">
        <is>
          <t>Casos del Excel (diseño + ejecución manual)</t>
        </is>
      </c>
      <c r="K473" s="5" t="inlineStr">
        <is>
          <t>Casos y Escenarios FuBank.xlsx</t>
        </is>
      </c>
      <c r="L473" s="5" t="inlineStr">
        <is>
          <t>Se retira un monto negativo del bolsillo; el sistema no lo permite</t>
        </is>
      </c>
      <c r="M473" s="5" t="inlineStr">
        <is>
          <t>Según lo esperado</t>
        </is>
      </c>
      <c r="N473" s="7" t="inlineStr">
        <is>
          <t>Aprobado</t>
        </is>
      </c>
      <c r="O473" s="5" t="inlineStr">
        <is>
          <t>2026-10-10</t>
        </is>
      </c>
      <c r="P473" s="5" t="inlineStr">
        <is>
          <t>Excel (hoja Casos de Prueba Detallado)</t>
        </is>
      </c>
      <c r="Q473" s="5" t="inlineStr">
        <is>
          <t>-</t>
        </is>
      </c>
    </row>
    <row r="474">
      <c r="A474" s="5" t="inlineStr">
        <is>
          <t>Stiven Alejandro Bustamante</t>
        </is>
      </c>
      <c r="B474" s="5" t="inlineStr">
        <is>
          <t>Bolsillos</t>
        </is>
      </c>
      <c r="C474" s="5" t="inlineStr">
        <is>
          <t>HU-26</t>
        </is>
      </c>
      <c r="D474" s="5" t="inlineStr">
        <is>
          <t>Transferir entre bolsillos</t>
        </is>
      </c>
      <c r="E474" s="5" t="inlineStr">
        <is>
          <t>transferir_entre_bolsillos.feature</t>
        </is>
      </c>
      <c r="F474" s="5" t="inlineStr">
        <is>
          <t>CY-TRAN-01</t>
        </is>
      </c>
      <c r="G474" s="5" t="inlineStr">
        <is>
          <t>Mover dinero de un bolsillo a otro</t>
        </is>
      </c>
      <c r="H474" s="5" t="inlineStr">
        <is>
          <t>Integración (API)</t>
        </is>
      </c>
      <c r="I474" s="5" t="inlineStr">
        <is>
          <t>Funcional</t>
        </is>
      </c>
      <c r="J474" s="5" t="inlineStr">
        <is>
          <t>Cypress + Gherkin (Bolsillos)</t>
        </is>
      </c>
      <c r="K474" s="5" t="inlineStr">
        <is>
          <t>e2e/serenity/features/bolsillos/transferir_entre_bolsillos.feature</t>
        </is>
      </c>
      <c r="L474" s="5" t="inlineStr">
        <is>
          <t>ella tiene los bolsillos:; la respuesta HTTP tiene estado 200; su bolsillo "Vacaciones" tiene 70000; su bolsillo "Mercado" tiene 80000; el saldo de su cuenta es 350000</t>
        </is>
      </c>
      <c r="M474" s="5" t="inlineStr">
        <is>
          <t>Todos los pasos pasaron</t>
        </is>
      </c>
      <c r="N474" s="7" t="inlineStr">
        <is>
          <t>Aprobado</t>
        </is>
      </c>
      <c r="O474" s="5" t="inlineStr">
        <is>
          <t>2026-10-27</t>
        </is>
      </c>
      <c r="P474" s="5" t="inlineStr">
        <is>
          <t>docs/evidencia-cypress-bolsillos/despues/cucumber-report.html</t>
        </is>
      </c>
      <c r="Q474" s="5" t="inlineStr">
        <is>
          <t>-</t>
        </is>
      </c>
    </row>
    <row r="475">
      <c r="A475" s="5" t="inlineStr">
        <is>
          <t>Stiven Alejandro Bustamante</t>
        </is>
      </c>
      <c r="B475" s="5" t="inlineStr">
        <is>
          <t>Bolsillos</t>
        </is>
      </c>
      <c r="C475" s="5" t="inlineStr">
        <is>
          <t>HU-26</t>
        </is>
      </c>
      <c r="D475" s="5" t="inlineStr">
        <is>
          <t>Transferir entre bolsillos</t>
        </is>
      </c>
      <c r="E475" s="5" t="inlineStr">
        <is>
          <t>transferir_entre_bolsillos.feature</t>
        </is>
      </c>
      <c r="F475" s="5" t="inlineStr">
        <is>
          <t>CY-TRAN-02</t>
        </is>
      </c>
      <c r="G475" s="5" t="inlineStr">
        <is>
          <t>Se puede transferir todo el saldo de un bolsillo</t>
        </is>
      </c>
      <c r="H475" s="5" t="inlineStr">
        <is>
          <t>Integración (API)</t>
        </is>
      </c>
      <c r="I475" s="5" t="inlineStr">
        <is>
          <t>Funcional</t>
        </is>
      </c>
      <c r="J475" s="5" t="inlineStr">
        <is>
          <t>Cypress + Gherkin (Bolsillos)</t>
        </is>
      </c>
      <c r="K475" s="5" t="inlineStr">
        <is>
          <t>e2e/serenity/features/bolsillos/transferir_entre_bolsillos.feature</t>
        </is>
      </c>
      <c r="L475" s="5" t="inlineStr">
        <is>
          <t>ella tiene los bolsillos:; la respuesta HTTP tiene estado 200; su bolsillo "Vacaciones" tiene 0; su bolsillo "Mercado" tiene 150000</t>
        </is>
      </c>
      <c r="M475" s="5" t="inlineStr">
        <is>
          <t>Todos los pasos pasaron</t>
        </is>
      </c>
      <c r="N475" s="7" t="inlineStr">
        <is>
          <t>Aprobado</t>
        </is>
      </c>
      <c r="O475" s="5" t="inlineStr">
        <is>
          <t>2026-10-27</t>
        </is>
      </c>
      <c r="P475" s="5" t="inlineStr">
        <is>
          <t>docs/evidencia-cypress-bolsillos/despues/cucumber-report.html</t>
        </is>
      </c>
      <c r="Q475" s="5" t="inlineStr">
        <is>
          <t>-</t>
        </is>
      </c>
    </row>
    <row r="476">
      <c r="A476" s="5" t="inlineStr">
        <is>
          <t>Stiven Alejandro Bustamante</t>
        </is>
      </c>
      <c r="B476" s="5" t="inlineStr">
        <is>
          <t>Bolsillos</t>
        </is>
      </c>
      <c r="C476" s="5" t="inlineStr">
        <is>
          <t>HU-26</t>
        </is>
      </c>
      <c r="D476" s="5" t="inlineStr">
        <is>
          <t>Transferir entre bolsillos</t>
        </is>
      </c>
      <c r="E476" s="5" t="inlineStr">
        <is>
          <t>transferir_entre_bolsillos.feature</t>
        </is>
      </c>
      <c r="F476" s="5" t="inlineStr">
        <is>
          <t>CY-TRAN-03</t>
        </is>
      </c>
      <c r="G476" s="5" t="inlineStr">
        <is>
          <t>No se puede transferir más de lo que tiene el bolsillo de origen</t>
        </is>
      </c>
      <c r="H476" s="5" t="inlineStr">
        <is>
          <t>Integración (API)</t>
        </is>
      </c>
      <c r="I476" s="5" t="inlineStr">
        <is>
          <t>Funcional</t>
        </is>
      </c>
      <c r="J476" s="5" t="inlineStr">
        <is>
          <t>Cypress + Gherkin (Bolsillos)</t>
        </is>
      </c>
      <c r="K476" s="5" t="inlineStr">
        <is>
          <t>e2e/serenity/features/bolsillos/transferir_entre_bolsillos.feature</t>
        </is>
      </c>
      <c r="L476" s="5" t="inlineStr">
        <is>
          <t>ella tiene los bolsillos:; la respuesta HTTP tiene estado 400; el código de error es "INSUFFICIENT_POCKET_BALANCE"; su bolsillo "Vacaciones" tiene 100000</t>
        </is>
      </c>
      <c r="M476" s="5" t="inlineStr">
        <is>
          <t>Todos los pasos pasaron</t>
        </is>
      </c>
      <c r="N476" s="7" t="inlineStr">
        <is>
          <t>Aprobado</t>
        </is>
      </c>
      <c r="O476" s="5" t="inlineStr">
        <is>
          <t>2026-10-27</t>
        </is>
      </c>
      <c r="P476" s="5" t="inlineStr">
        <is>
          <t>docs/evidencia-cypress-bolsillos/despues/cucumber-report.html</t>
        </is>
      </c>
      <c r="Q476" s="5" t="inlineStr">
        <is>
          <t>-</t>
        </is>
      </c>
    </row>
    <row r="477">
      <c r="A477" s="5" t="inlineStr">
        <is>
          <t>Stiven Alejandro Bustamante</t>
        </is>
      </c>
      <c r="B477" s="5" t="inlineStr">
        <is>
          <t>Bolsillos</t>
        </is>
      </c>
      <c r="C477" s="5" t="inlineStr">
        <is>
          <t>HU-26</t>
        </is>
      </c>
      <c r="D477" s="5" t="inlineStr">
        <is>
          <t>Transferir entre bolsillos</t>
        </is>
      </c>
      <c r="E477" s="5" t="inlineStr">
        <is>
          <t>transferir_entre_bolsillos.feature</t>
        </is>
      </c>
      <c r="F477" s="5" t="inlineStr">
        <is>
          <t>CY-TRAN-04</t>
        </is>
      </c>
      <c r="G477" s="5" t="inlineStr">
        <is>
          <t>El bolsillo de origen y el de destino deben ser diferentes</t>
        </is>
      </c>
      <c r="H477" s="5" t="inlineStr">
        <is>
          <t>Integración (API)</t>
        </is>
      </c>
      <c r="I477" s="5" t="inlineStr">
        <is>
          <t>Funcional</t>
        </is>
      </c>
      <c r="J477" s="5" t="inlineStr">
        <is>
          <t>Cypress + Gherkin (Bolsillos)</t>
        </is>
      </c>
      <c r="K477" s="5" t="inlineStr">
        <is>
          <t>e2e/serenity/features/bolsillos/transferir_entre_bolsillos.feature</t>
        </is>
      </c>
      <c r="L477" s="5" t="inlineStr">
        <is>
          <t>ella tiene los bolsillos:; la respuesta HTTP tiene estado 400; el código de error es "INVALID_TRANSFER_TARGET"</t>
        </is>
      </c>
      <c r="M477" s="5" t="inlineStr">
        <is>
          <t>Todos los pasos pasaron</t>
        </is>
      </c>
      <c r="N477" s="7" t="inlineStr">
        <is>
          <t>Aprobado</t>
        </is>
      </c>
      <c r="O477" s="5" t="inlineStr">
        <is>
          <t>2026-10-27</t>
        </is>
      </c>
      <c r="P477" s="5" t="inlineStr">
        <is>
          <t>docs/evidencia-cypress-bolsillos/despues/cucumber-report.html</t>
        </is>
      </c>
      <c r="Q477" s="5" t="inlineStr">
        <is>
          <t>-</t>
        </is>
      </c>
    </row>
    <row r="478">
      <c r="A478" s="5" t="inlineStr">
        <is>
          <t>Stiven Alejandro Bustamante</t>
        </is>
      </c>
      <c r="B478" s="5" t="inlineStr">
        <is>
          <t>Bolsillos</t>
        </is>
      </c>
      <c r="C478" s="5" t="inlineStr">
        <is>
          <t>HU-26</t>
        </is>
      </c>
      <c r="D478" s="5" t="inlineStr">
        <is>
          <t>Transferir entre bolsillos</t>
        </is>
      </c>
      <c r="E478" s="5" t="inlineStr">
        <is>
          <t>transferir_entre_bolsillos.feature</t>
        </is>
      </c>
      <c r="F478" s="5" t="inlineStr">
        <is>
          <t>CY-TRAN-05</t>
        </is>
      </c>
      <c r="G478" s="5" t="inlineStr">
        <is>
          <t>Transferir entre bolsillos desde la pantalla</t>
        </is>
      </c>
      <c r="H478" s="5" t="inlineStr">
        <is>
          <t>Sistema (E2E)</t>
        </is>
      </c>
      <c r="I478" s="5" t="inlineStr">
        <is>
          <t>Funcional</t>
        </is>
      </c>
      <c r="J478" s="5" t="inlineStr">
        <is>
          <t>Cypress + Gherkin (Bolsillos)</t>
        </is>
      </c>
      <c r="K478" s="5" t="inlineStr">
        <is>
          <t>e2e/serenity/features/bolsillos/transferir_entre_bolsillos.feature</t>
        </is>
      </c>
      <c r="L478" s="5" t="inlineStr">
        <is>
          <t>ella tiene los bolsillos:; ella ve la notificación "Transferencia realizada"; ella ve el bolsillo "Vacaciones" con 70000; ella ve el bolsillo "Mercado" con 80000</t>
        </is>
      </c>
      <c r="M478" s="5" t="inlineStr">
        <is>
          <t>Todos los pasos pasaron</t>
        </is>
      </c>
      <c r="N478" s="7" t="inlineStr">
        <is>
          <t>Aprobado</t>
        </is>
      </c>
      <c r="O478" s="5" t="inlineStr">
        <is>
          <t>2026-10-27</t>
        </is>
      </c>
      <c r="P478" s="5" t="inlineStr">
        <is>
          <t>docs/evidencia-cypress-bolsillos/despues/cucumber-report.html</t>
        </is>
      </c>
      <c r="Q478" s="5" t="inlineStr">
        <is>
          <t>-</t>
        </is>
      </c>
    </row>
    <row r="479">
      <c r="A479" s="5" t="inlineStr">
        <is>
          <t>Stiven Alejandro Bustamante</t>
        </is>
      </c>
      <c r="B479" s="5" t="inlineStr">
        <is>
          <t>Bolsillos</t>
        </is>
      </c>
      <c r="C479" s="5" t="inlineStr">
        <is>
          <t>HU-26</t>
        </is>
      </c>
      <c r="D479" s="5" t="inlineStr">
        <is>
          <t>Transferir entre bolsillos</t>
        </is>
      </c>
      <c r="E479" s="5" t="inlineStr">
        <is>
          <t>test-set-0</t>
        </is>
      </c>
      <c r="F479" s="5" t="inlineStr">
        <is>
          <t>KP-post-api-v1-pockets-transfer-1</t>
        </is>
      </c>
      <c r="G479" s="5" t="inlineStr">
        <is>
          <t>post-api-v1-pockets-transfer-1</t>
        </is>
      </c>
      <c r="H479" s="5" t="inlineStr">
        <is>
          <t>Integración (API, mocks de Supabase)</t>
        </is>
      </c>
      <c r="I479" s="5" t="inlineStr">
        <is>
          <t>Regresión</t>
        </is>
      </c>
      <c r="J479" s="5" t="inlineStr">
        <is>
          <t>IA · Keploy (Alejandro)</t>
        </is>
      </c>
      <c r="K479" s="5" t="inlineStr">
        <is>
          <t>03-keploy/evidence/test-set-0-saneado/tests/post-api-v1-pockets-transfer-1.yaml</t>
        </is>
      </c>
      <c r="L479" s="5" t="inlineStr">
        <is>
          <t>Respuesta igual a la grabada (ruido: token, id, Etag)</t>
        </is>
      </c>
      <c r="M479" s="5" t="inlineStr">
        <is>
          <t>Reproducido igual a lo grabado</t>
        </is>
      </c>
      <c r="N479" s="7" t="inlineStr">
        <is>
          <t>Aprobado</t>
        </is>
      </c>
      <c r="O479" s="5" t="inlineStr">
        <is>
          <t>2026-10-27</t>
        </is>
      </c>
      <c r="P479" s="5" t="inlineStr">
        <is>
          <t>03-keploy/evidence/02-replay-con-ruido-50-de-50.txt</t>
        </is>
      </c>
      <c r="Q479" s="5" t="inlineStr">
        <is>
          <t>-</t>
        </is>
      </c>
    </row>
    <row r="480">
      <c r="A480" s="5" t="inlineStr">
        <is>
          <t>Stiven Alejandro Bustamante</t>
        </is>
      </c>
      <c r="B480" s="5" t="inlineStr">
        <is>
          <t>Bolsillos</t>
        </is>
      </c>
      <c r="C480" s="5" t="inlineStr">
        <is>
          <t>HU-26</t>
        </is>
      </c>
      <c r="D480" s="5" t="inlineStr">
        <is>
          <t>Transferir entre bolsillos</t>
        </is>
      </c>
      <c r="E480" s="5" t="inlineStr">
        <is>
          <t>test-set-0</t>
        </is>
      </c>
      <c r="F480" s="5" t="inlineStr">
        <is>
          <t>KP-post-api-v1-pockets-transfer-2</t>
        </is>
      </c>
      <c r="G480" s="5" t="inlineStr">
        <is>
          <t>post-api-v1-pockets-transfer-2</t>
        </is>
      </c>
      <c r="H480" s="5" t="inlineStr">
        <is>
          <t>Integración (API, mocks de Supabase)</t>
        </is>
      </c>
      <c r="I480" s="5" t="inlineStr">
        <is>
          <t>Regresión</t>
        </is>
      </c>
      <c r="J480" s="5" t="inlineStr">
        <is>
          <t>IA · Keploy (Alejandro)</t>
        </is>
      </c>
      <c r="K480" s="5" t="inlineStr">
        <is>
          <t>03-keploy/evidence/test-set-0-saneado/tests/post-api-v1-pockets-transfer-2.yaml</t>
        </is>
      </c>
      <c r="L480" s="5" t="inlineStr">
        <is>
          <t>Respuesta igual a la grabada (ruido: token, id, Etag)</t>
        </is>
      </c>
      <c r="M480" s="5" t="inlineStr">
        <is>
          <t>Reproducido igual a lo grabado</t>
        </is>
      </c>
      <c r="N480" s="7" t="inlineStr">
        <is>
          <t>Aprobado</t>
        </is>
      </c>
      <c r="O480" s="5" t="inlineStr">
        <is>
          <t>2026-10-27</t>
        </is>
      </c>
      <c r="P480" s="5" t="inlineStr">
        <is>
          <t>03-keploy/evidence/02-replay-con-ruido-50-de-50.txt</t>
        </is>
      </c>
      <c r="Q480" s="5" t="inlineStr">
        <is>
          <t>-</t>
        </is>
      </c>
    </row>
    <row r="481">
      <c r="A481" s="5" t="inlineStr">
        <is>
          <t>Stiven Alejandro Bustamante</t>
        </is>
      </c>
      <c r="B481" s="5" t="inlineStr">
        <is>
          <t>Bolsillos</t>
        </is>
      </c>
      <c r="C481" s="5" t="inlineStr">
        <is>
          <t>HU-26</t>
        </is>
      </c>
      <c r="D481" s="5" t="inlineStr">
        <is>
          <t>Transferir entre bolsillos</t>
        </is>
      </c>
      <c r="E481" s="5" t="inlineStr">
        <is>
          <t>test-set-0</t>
        </is>
      </c>
      <c r="F481" s="5" t="inlineStr">
        <is>
          <t>KP-post-api-v1-pockets-transfer-3</t>
        </is>
      </c>
      <c r="G481" s="5" t="inlineStr">
        <is>
          <t>post-api-v1-pockets-transfer-3</t>
        </is>
      </c>
      <c r="H481" s="5" t="inlineStr">
        <is>
          <t>Integración (API, mocks de Supabase)</t>
        </is>
      </c>
      <c r="I481" s="5" t="inlineStr">
        <is>
          <t>Regresión</t>
        </is>
      </c>
      <c r="J481" s="5" t="inlineStr">
        <is>
          <t>IA · Keploy (Alejandro)</t>
        </is>
      </c>
      <c r="K481" s="5" t="inlineStr">
        <is>
          <t>03-keploy/evidence/test-set-0-saneado/tests/post-api-v1-pockets-transfer-3.yaml</t>
        </is>
      </c>
      <c r="L481" s="5" t="inlineStr">
        <is>
          <t>Respuesta igual a la grabada (ruido: token, id, Etag)</t>
        </is>
      </c>
      <c r="M481" s="5" t="inlineStr">
        <is>
          <t>Reproducido igual a lo grabado</t>
        </is>
      </c>
      <c r="N481" s="7" t="inlineStr">
        <is>
          <t>Aprobado</t>
        </is>
      </c>
      <c r="O481" s="5" t="inlineStr">
        <is>
          <t>2026-10-27</t>
        </is>
      </c>
      <c r="P481" s="5" t="inlineStr">
        <is>
          <t>03-keploy/evidence/02-replay-con-ruido-50-de-50.txt</t>
        </is>
      </c>
      <c r="Q481" s="5" t="inlineStr">
        <is>
          <t>-</t>
        </is>
      </c>
    </row>
    <row r="482">
      <c r="A482" s="5" t="inlineStr">
        <is>
          <t>Stiven Alejandro Bustamante</t>
        </is>
      </c>
      <c r="B482" s="5" t="inlineStr">
        <is>
          <t>Bolsillos</t>
        </is>
      </c>
      <c r="C482" s="5" t="inlineStr">
        <is>
          <t>HU-26</t>
        </is>
      </c>
      <c r="D482" s="5" t="inlineStr">
        <is>
          <t>Transferir entre bolsillos</t>
        </is>
      </c>
      <c r="E482" s="5" t="inlineStr">
        <is>
          <t>transferir-entre-bolsillos.spec.ts</t>
        </is>
      </c>
      <c r="F482" s="5" t="inlineStr">
        <is>
          <t>PW-TRA-01</t>
        </is>
      </c>
      <c r="G482" s="5" t="inlineStr">
        <is>
          <t>TRA-01 · Transferir un monto entre dos bolsillos mueve el saldo sin tocar la cuenta</t>
        </is>
      </c>
      <c r="H482" s="5" t="inlineStr">
        <is>
          <t>Sistema (E2E)</t>
        </is>
      </c>
      <c r="I482" s="5" t="inlineStr">
        <is>
          <t>Funcional</t>
        </is>
      </c>
      <c r="J482" s="5" t="inlineStr">
        <is>
          <t>IA · Playwright Test Agents (Alejandro)</t>
        </is>
      </c>
      <c r="K482" s="5" t="inlineStr">
        <is>
          <t>herramientas-alejandro/01-playwright-test-agents/tests/transferir-entre-bolsillos.spec.ts</t>
        </is>
      </c>
      <c r="L482" s="5" t="inlineStr">
        <is>
          <t>Según specs/bolsillos-depositar.md</t>
        </is>
      </c>
      <c r="M482" s="5" t="inlineStr">
        <is>
          <t>Pasó</t>
        </is>
      </c>
      <c r="N482" s="7" t="inlineStr">
        <is>
          <t>Aprobado</t>
        </is>
      </c>
      <c r="O482" s="5" t="inlineStr">
        <is>
          <t>2026-10-27</t>
        </is>
      </c>
      <c r="P482" s="5" t="inlineStr">
        <is>
          <t>herramientas-alejandro/01-playwright-test-agents/evidence/html-report</t>
        </is>
      </c>
      <c r="Q482" s="5" t="inlineStr">
        <is>
          <t>-</t>
        </is>
      </c>
    </row>
    <row r="483">
      <c r="A483" s="5" t="inlineStr">
        <is>
          <t>Stiven Alejandro Bustamante</t>
        </is>
      </c>
      <c r="B483" s="5" t="inlineStr">
        <is>
          <t>Bolsillos</t>
        </is>
      </c>
      <c r="C483" s="5" t="inlineStr">
        <is>
          <t>HU-26</t>
        </is>
      </c>
      <c r="D483" s="5" t="inlineStr">
        <is>
          <t>Transferir entre bolsillos</t>
        </is>
      </c>
      <c r="E483" s="5" t="inlineStr">
        <is>
          <t>transferir-entre-bolsillos.spec.ts</t>
        </is>
      </c>
      <c r="F483" s="5" t="inlineStr">
        <is>
          <t>PW-TRA-02</t>
        </is>
      </c>
      <c r="G483" s="5" t="inlineStr">
        <is>
          <t>TRA-02 · Transferir sin datos, más de lo disponible o al mismo bolsillo es rechazado</t>
        </is>
      </c>
      <c r="H483" s="5" t="inlineStr">
        <is>
          <t>Sistema (E2E)</t>
        </is>
      </c>
      <c r="I483" s="5" t="inlineStr">
        <is>
          <t>Funcional</t>
        </is>
      </c>
      <c r="J483" s="5" t="inlineStr">
        <is>
          <t>IA · Playwright Test Agents (Alejandro)</t>
        </is>
      </c>
      <c r="K483" s="5" t="inlineStr">
        <is>
          <t>herramientas-alejandro/01-playwright-test-agents/tests/transferir-entre-bolsillos.spec.ts</t>
        </is>
      </c>
      <c r="L483" s="5" t="inlineStr">
        <is>
          <t>Según specs/bolsillos-depositar.md</t>
        </is>
      </c>
      <c r="M483" s="5" t="inlineStr">
        <is>
          <t>Pasó</t>
        </is>
      </c>
      <c r="N483" s="7" t="inlineStr">
        <is>
          <t>Aprobado</t>
        </is>
      </c>
      <c r="O483" s="5" t="inlineStr">
        <is>
          <t>2026-10-27</t>
        </is>
      </c>
      <c r="P483" s="5" t="inlineStr">
        <is>
          <t>herramientas-alejandro/01-playwright-test-agents/evidence/html-report</t>
        </is>
      </c>
      <c r="Q483" s="5" t="inlineStr">
        <is>
          <t>-</t>
        </is>
      </c>
    </row>
    <row r="484">
      <c r="A484" s="5" t="inlineStr">
        <is>
          <t>Stiven Alejandro Bustamante</t>
        </is>
      </c>
      <c r="B484" s="5" t="inlineStr">
        <is>
          <t>Bolsillos</t>
        </is>
      </c>
      <c r="C484" s="5" t="inlineStr">
        <is>
          <t>HU-26</t>
        </is>
      </c>
      <c r="D484" s="5" t="inlineStr">
        <is>
          <t>Transferir entre bolsillos</t>
        </is>
      </c>
      <c r="E484" s="5" t="inlineStr">
        <is>
          <t>04 Transferir entre bolsillos</t>
        </is>
      </c>
      <c r="F484" s="5" t="inlineStr">
        <is>
          <t>PM-TR-01</t>
        </is>
      </c>
      <c r="G484" s="5" t="inlineStr">
        <is>
          <t>Transferir 30.000 de "Viaje a Cartagena" a "Mercado"</t>
        </is>
      </c>
      <c r="H484" s="5" t="inlineStr">
        <is>
          <t>Integración (API)</t>
        </is>
      </c>
      <c r="I484" s="5" t="inlineStr">
        <is>
          <t>Funcional</t>
        </is>
      </c>
      <c r="J484" s="5" t="inlineStr">
        <is>
          <t>IA · Postman + Newman (Alejandro)</t>
        </is>
      </c>
      <c r="K484" s="5" t="inlineStr">
        <is>
          <t>herramientas-alejandro/02-postman-postbot</t>
        </is>
      </c>
      <c r="L484" s="5" t="inlineStr">
        <is>
          <t>Ver descripción del request</t>
        </is>
      </c>
      <c r="M484" s="5" t="inlineStr">
        <is>
          <t>5/5 aserciones</t>
        </is>
      </c>
      <c r="N484" s="7" t="inlineStr">
        <is>
          <t>Aprobado</t>
        </is>
      </c>
      <c r="O484" s="5" t="inlineStr">
        <is>
          <t>2026-10-27</t>
        </is>
      </c>
      <c r="P484" s="5" t="inlineStr">
        <is>
          <t>02-postman-postbot/evidence/newman-report.html</t>
        </is>
      </c>
      <c r="Q484" s="5" t="inlineStr">
        <is>
          <t>-</t>
        </is>
      </c>
    </row>
    <row r="485">
      <c r="A485" s="5" t="inlineStr">
        <is>
          <t>Stiven Alejandro Bustamante</t>
        </is>
      </c>
      <c r="B485" s="5" t="inlineStr">
        <is>
          <t>Bolsillos</t>
        </is>
      </c>
      <c r="C485" s="5" t="inlineStr">
        <is>
          <t>HU-26</t>
        </is>
      </c>
      <c r="D485" s="5" t="inlineStr">
        <is>
          <t>Transferir entre bolsillos</t>
        </is>
      </c>
      <c r="E485" s="5" t="inlineStr">
        <is>
          <t>04 Transferir entre bolsillos</t>
        </is>
      </c>
      <c r="F485" s="5" t="inlineStr">
        <is>
          <t>PM-TR-02</t>
        </is>
      </c>
      <c r="G485" s="5" t="inlineStr">
        <is>
          <t>Rechazar más de lo que tiene el origen</t>
        </is>
      </c>
      <c r="H485" s="5" t="inlineStr">
        <is>
          <t>Integración (API)</t>
        </is>
      </c>
      <c r="I485" s="5" t="inlineStr">
        <is>
          <t>Funcional</t>
        </is>
      </c>
      <c r="J485" s="5" t="inlineStr">
        <is>
          <t>IA · Postman + Newman (Alejandro)</t>
        </is>
      </c>
      <c r="K485" s="5" t="inlineStr">
        <is>
          <t>herramientas-alejandro/02-postman-postbot</t>
        </is>
      </c>
      <c r="L485" s="5" t="inlineStr">
        <is>
          <t>Ver descripción del request</t>
        </is>
      </c>
      <c r="M485" s="5" t="inlineStr">
        <is>
          <t>4/4 aserciones</t>
        </is>
      </c>
      <c r="N485" s="7" t="inlineStr">
        <is>
          <t>Aprobado</t>
        </is>
      </c>
      <c r="O485" s="5" t="inlineStr">
        <is>
          <t>2026-10-27</t>
        </is>
      </c>
      <c r="P485" s="5" t="inlineStr">
        <is>
          <t>02-postman-postbot/evidence/newman-report.html</t>
        </is>
      </c>
      <c r="Q485" s="5" t="inlineStr">
        <is>
          <t>-</t>
        </is>
      </c>
    </row>
    <row r="486">
      <c r="A486" s="5" t="inlineStr">
        <is>
          <t>Stiven Alejandro Bustamante</t>
        </is>
      </c>
      <c r="B486" s="5" t="inlineStr">
        <is>
          <t>Bolsillos</t>
        </is>
      </c>
      <c r="C486" s="5" t="inlineStr">
        <is>
          <t>HU-26</t>
        </is>
      </c>
      <c r="D486" s="5" t="inlineStr">
        <is>
          <t>Transferir entre bolsillos</t>
        </is>
      </c>
      <c r="E486" s="5" t="inlineStr">
        <is>
          <t>04 Transferir entre bolsillos</t>
        </is>
      </c>
      <c r="F486" s="5" t="inlineStr">
        <is>
          <t>PM-TR-03</t>
        </is>
      </c>
      <c r="G486" s="5" t="inlineStr">
        <is>
          <t>Rechazar origen y destino iguales</t>
        </is>
      </c>
      <c r="H486" s="5" t="inlineStr">
        <is>
          <t>Integración (API)</t>
        </is>
      </c>
      <c r="I486" s="5" t="inlineStr">
        <is>
          <t>Funcional</t>
        </is>
      </c>
      <c r="J486" s="5" t="inlineStr">
        <is>
          <t>IA · Postman + Newman (Alejandro)</t>
        </is>
      </c>
      <c r="K486" s="5" t="inlineStr">
        <is>
          <t>herramientas-alejandro/02-postman-postbot</t>
        </is>
      </c>
      <c r="L486" s="5" t="inlineStr">
        <is>
          <t>Ver descripción del request</t>
        </is>
      </c>
      <c r="M486" s="5" t="inlineStr">
        <is>
          <t>4/4 aserciones</t>
        </is>
      </c>
      <c r="N486" s="7" t="inlineStr">
        <is>
          <t>Aprobado</t>
        </is>
      </c>
      <c r="O486" s="5" t="inlineStr">
        <is>
          <t>2026-10-27</t>
        </is>
      </c>
      <c r="P486" s="5" t="inlineStr">
        <is>
          <t>02-postman-postbot/evidence/newman-report.html</t>
        </is>
      </c>
      <c r="Q486" s="5" t="inlineStr">
        <is>
          <t>-</t>
        </is>
      </c>
    </row>
    <row r="487">
      <c r="A487" s="5" t="inlineStr">
        <is>
          <t>Stiven Alejandro Bustamante</t>
        </is>
      </c>
      <c r="B487" s="5" t="inlineStr">
        <is>
          <t>Bolsillos</t>
        </is>
      </c>
      <c r="C487" s="5" t="inlineStr">
        <is>
          <t>HU-26</t>
        </is>
      </c>
      <c r="D487" s="5" t="inlineStr">
        <is>
          <t>Transferir entre bolsillos</t>
        </is>
      </c>
      <c r="E487" s="5" t="inlineStr">
        <is>
          <t>Katalon Recorder</t>
        </is>
      </c>
      <c r="F487" s="5" t="inlineStr">
        <is>
          <t>Suite_05_Transferir</t>
        </is>
      </c>
      <c r="G487" s="5" t="inlineStr">
        <is>
          <t>Suite_05_Transferir (casos TC-1xx)</t>
        </is>
      </c>
      <c r="H487" s="5" t="inlineStr">
        <is>
          <t>Sistema (E2E)</t>
        </is>
      </c>
      <c r="I487" s="5" t="inlineStr">
        <is>
          <t>Funcional</t>
        </is>
      </c>
      <c r="J487" s="5" t="inlineStr">
        <is>
          <t>Katalon Recorder</t>
        </is>
      </c>
      <c r="K487" s="5" t="inlineStr">
        <is>
          <t>katalon/suites/Suite_05_Transferir.html</t>
        </is>
      </c>
      <c r="L487" s="5" t="inlineStr">
        <is>
          <t>Todos los casos de la suite pasan</t>
        </is>
      </c>
      <c r="M487" s="5" t="inlineStr">
        <is>
          <t>Parte de la corrida 52/52 en KR7</t>
        </is>
      </c>
      <c r="N487" s="7" t="inlineStr">
        <is>
          <t>Aprobado</t>
        </is>
      </c>
      <c r="O487" s="5" t="inlineStr">
        <is>
          <t>2026-10-10</t>
        </is>
      </c>
      <c r="P487" s="5" t="inlineStr">
        <is>
          <t>katalon/evidencias/</t>
        </is>
      </c>
      <c r="Q487" s="5" t="inlineStr">
        <is>
          <t>-</t>
        </is>
      </c>
    </row>
    <row r="488">
      <c r="A488" s="5" t="inlineStr">
        <is>
          <t>Stiven Alejandro Bustamante</t>
        </is>
      </c>
      <c r="B488" s="5" t="inlineStr">
        <is>
          <t>Bolsillos</t>
        </is>
      </c>
      <c r="C488" s="5" t="inlineStr">
        <is>
          <t>HU-26</t>
        </is>
      </c>
      <c r="D488" s="5" t="inlineStr">
        <is>
          <t>Transferir entre bolsillos</t>
        </is>
      </c>
      <c r="E488" s="5" t="inlineStr">
        <is>
          <t>transferir_entre_bolsillos.feature</t>
        </is>
      </c>
      <c r="F488" s="5" t="inlineStr">
        <is>
          <t>SJ-TRAN-01</t>
        </is>
      </c>
      <c r="G488" s="5" t="inlineStr">
        <is>
          <t>Mover dinero de un bolsillo a otro</t>
        </is>
      </c>
      <c r="H488" s="5" t="inlineStr">
        <is>
          <t>Integración (API)</t>
        </is>
      </c>
      <c r="I488" s="5" t="inlineStr">
        <is>
          <t>Funcional</t>
        </is>
      </c>
      <c r="J488" s="5" t="inlineStr">
        <is>
          <t>Serenity/JS Screenplay + Gherkin</t>
        </is>
      </c>
      <c r="K488" s="5" t="inlineStr">
        <is>
          <t>features/bolsillos/transferir_entre_bolsillos.feature</t>
        </is>
      </c>
      <c r="L488" s="5" t="inlineStr">
        <is>
          <t>ella tiene los bolsillos:; la respuesta HTTP tiene estado 200; su bolsillo "Vacaciones" tiene 70000; su bolsillo "Mercado" tiene 80000; el saldo de su cuenta es 350000</t>
        </is>
      </c>
      <c r="M488" s="5" t="inlineStr">
        <is>
          <t>Todos los pasos pasaron</t>
        </is>
      </c>
      <c r="N488" s="7" t="inlineStr">
        <is>
          <t>Aprobado</t>
        </is>
      </c>
      <c r="O488" s="5" t="inlineStr">
        <is>
          <t>2026-10-27</t>
        </is>
      </c>
      <c r="P488" s="5" t="inlineStr">
        <is>
          <t>docs/evidencia-final-equipo/serenity-equipo-corrida.txt</t>
        </is>
      </c>
      <c r="Q488" s="5" t="inlineStr">
        <is>
          <t>-</t>
        </is>
      </c>
    </row>
    <row r="489">
      <c r="A489" s="5" t="inlineStr">
        <is>
          <t>Stiven Alejandro Bustamante</t>
        </is>
      </c>
      <c r="B489" s="5" t="inlineStr">
        <is>
          <t>Bolsillos</t>
        </is>
      </c>
      <c r="C489" s="5" t="inlineStr">
        <is>
          <t>HU-26</t>
        </is>
      </c>
      <c r="D489" s="5" t="inlineStr">
        <is>
          <t>Transferir entre bolsillos</t>
        </is>
      </c>
      <c r="E489" s="5" t="inlineStr">
        <is>
          <t>transferir_entre_bolsillos.feature</t>
        </is>
      </c>
      <c r="F489" s="5" t="inlineStr">
        <is>
          <t>SJ-TRAN-02</t>
        </is>
      </c>
      <c r="G489" s="5" t="inlineStr">
        <is>
          <t>Se puede transferir todo el saldo de un bolsillo</t>
        </is>
      </c>
      <c r="H489" s="5" t="inlineStr">
        <is>
          <t>Integración (API)</t>
        </is>
      </c>
      <c r="I489" s="5" t="inlineStr">
        <is>
          <t>Funcional</t>
        </is>
      </c>
      <c r="J489" s="5" t="inlineStr">
        <is>
          <t>Serenity/JS Screenplay + Gherkin</t>
        </is>
      </c>
      <c r="K489" s="5" t="inlineStr">
        <is>
          <t>features/bolsillos/transferir_entre_bolsillos.feature</t>
        </is>
      </c>
      <c r="L489" s="5" t="inlineStr">
        <is>
          <t>ella tiene los bolsillos:; la respuesta HTTP tiene estado 200; su bolsillo "Vacaciones" tiene 0; su bolsillo "Mercado" tiene 150000</t>
        </is>
      </c>
      <c r="M489" s="5" t="inlineStr">
        <is>
          <t>Todos los pasos pasaron</t>
        </is>
      </c>
      <c r="N489" s="7" t="inlineStr">
        <is>
          <t>Aprobado</t>
        </is>
      </c>
      <c r="O489" s="5" t="inlineStr">
        <is>
          <t>2026-10-27</t>
        </is>
      </c>
      <c r="P489" s="5" t="inlineStr">
        <is>
          <t>docs/evidencia-final-equipo/serenity-equipo-corrida.txt</t>
        </is>
      </c>
      <c r="Q489" s="5" t="inlineStr">
        <is>
          <t>-</t>
        </is>
      </c>
    </row>
    <row r="490">
      <c r="A490" s="5" t="inlineStr">
        <is>
          <t>Stiven Alejandro Bustamante</t>
        </is>
      </c>
      <c r="B490" s="5" t="inlineStr">
        <is>
          <t>Bolsillos</t>
        </is>
      </c>
      <c r="C490" s="5" t="inlineStr">
        <is>
          <t>HU-26</t>
        </is>
      </c>
      <c r="D490" s="5" t="inlineStr">
        <is>
          <t>Transferir entre bolsillos</t>
        </is>
      </c>
      <c r="E490" s="5" t="inlineStr">
        <is>
          <t>transferir_entre_bolsillos.feature</t>
        </is>
      </c>
      <c r="F490" s="5" t="inlineStr">
        <is>
          <t>SJ-TRAN-03</t>
        </is>
      </c>
      <c r="G490" s="5" t="inlineStr">
        <is>
          <t>No se puede transferir más de lo que tiene el bolsillo de origen</t>
        </is>
      </c>
      <c r="H490" s="5" t="inlineStr">
        <is>
          <t>Integración (API)</t>
        </is>
      </c>
      <c r="I490" s="5" t="inlineStr">
        <is>
          <t>Funcional</t>
        </is>
      </c>
      <c r="J490" s="5" t="inlineStr">
        <is>
          <t>Serenity/JS Screenplay + Gherkin</t>
        </is>
      </c>
      <c r="K490" s="5" t="inlineStr">
        <is>
          <t>features/bolsillos/transferir_entre_bolsillos.feature</t>
        </is>
      </c>
      <c r="L490" s="5" t="inlineStr">
        <is>
          <t>ella tiene los bolsillos:; la respuesta HTTP tiene estado 400; el código de error es "INSUFFICIENT_POCKET_BALANCE"; su bolsillo "Vacaciones" tiene 100000</t>
        </is>
      </c>
      <c r="M490" s="5" t="inlineStr">
        <is>
          <t>Todos los pasos pasaron</t>
        </is>
      </c>
      <c r="N490" s="7" t="inlineStr">
        <is>
          <t>Aprobado</t>
        </is>
      </c>
      <c r="O490" s="5" t="inlineStr">
        <is>
          <t>2026-10-27</t>
        </is>
      </c>
      <c r="P490" s="5" t="inlineStr">
        <is>
          <t>docs/evidencia-final-equipo/serenity-equipo-corrida.txt</t>
        </is>
      </c>
      <c r="Q490" s="5" t="inlineStr">
        <is>
          <t>-</t>
        </is>
      </c>
    </row>
    <row r="491">
      <c r="A491" s="5" t="inlineStr">
        <is>
          <t>Stiven Alejandro Bustamante</t>
        </is>
      </c>
      <c r="B491" s="5" t="inlineStr">
        <is>
          <t>Bolsillos</t>
        </is>
      </c>
      <c r="C491" s="5" t="inlineStr">
        <is>
          <t>HU-26</t>
        </is>
      </c>
      <c r="D491" s="5" t="inlineStr">
        <is>
          <t>Transferir entre bolsillos</t>
        </is>
      </c>
      <c r="E491" s="5" t="inlineStr">
        <is>
          <t>transferir_entre_bolsillos.feature</t>
        </is>
      </c>
      <c r="F491" s="5" t="inlineStr">
        <is>
          <t>SJ-TRAN-04</t>
        </is>
      </c>
      <c r="G491" s="5" t="inlineStr">
        <is>
          <t>El bolsillo de origen y el de destino deben ser diferentes</t>
        </is>
      </c>
      <c r="H491" s="5" t="inlineStr">
        <is>
          <t>Integración (API)</t>
        </is>
      </c>
      <c r="I491" s="5" t="inlineStr">
        <is>
          <t>Funcional</t>
        </is>
      </c>
      <c r="J491" s="5" t="inlineStr">
        <is>
          <t>Serenity/JS Screenplay + Gherkin</t>
        </is>
      </c>
      <c r="K491" s="5" t="inlineStr">
        <is>
          <t>features/bolsillos/transferir_entre_bolsillos.feature</t>
        </is>
      </c>
      <c r="L491" s="5" t="inlineStr">
        <is>
          <t>ella tiene los bolsillos:; la respuesta HTTP tiene estado 400; el código de error es "INVALID_TRANSFER_TARGET"</t>
        </is>
      </c>
      <c r="M491" s="5" t="inlineStr">
        <is>
          <t>Todos los pasos pasaron</t>
        </is>
      </c>
      <c r="N491" s="7" t="inlineStr">
        <is>
          <t>Aprobado</t>
        </is>
      </c>
      <c r="O491" s="5" t="inlineStr">
        <is>
          <t>2026-10-27</t>
        </is>
      </c>
      <c r="P491" s="5" t="inlineStr">
        <is>
          <t>docs/evidencia-final-equipo/serenity-equipo-corrida.txt</t>
        </is>
      </c>
      <c r="Q491" s="5" t="inlineStr">
        <is>
          <t>-</t>
        </is>
      </c>
    </row>
    <row r="492">
      <c r="A492" s="5" t="inlineStr">
        <is>
          <t>Stiven Alejandro Bustamante</t>
        </is>
      </c>
      <c r="B492" s="5" t="inlineStr">
        <is>
          <t>Bolsillos</t>
        </is>
      </c>
      <c r="C492" s="5" t="inlineStr">
        <is>
          <t>HU-26</t>
        </is>
      </c>
      <c r="D492" s="5" t="inlineStr">
        <is>
          <t>Transferir entre bolsillos</t>
        </is>
      </c>
      <c r="E492" s="5" t="inlineStr">
        <is>
          <t>transferir_entre_bolsillos.feature</t>
        </is>
      </c>
      <c r="F492" s="5" t="inlineStr">
        <is>
          <t>SJ-TRAN-05</t>
        </is>
      </c>
      <c r="G492" s="5" t="inlineStr">
        <is>
          <t>Transferir entre bolsillos desde la pantalla</t>
        </is>
      </c>
      <c r="H492" s="5" t="inlineStr">
        <is>
          <t>Sistema (E2E)</t>
        </is>
      </c>
      <c r="I492" s="5" t="inlineStr">
        <is>
          <t>Funcional</t>
        </is>
      </c>
      <c r="J492" s="5" t="inlineStr">
        <is>
          <t>Serenity/JS Screenplay + Gherkin</t>
        </is>
      </c>
      <c r="K492" s="5" t="inlineStr">
        <is>
          <t>features/bolsillos/transferir_entre_bolsillos.feature</t>
        </is>
      </c>
      <c r="L492" s="5" t="inlineStr">
        <is>
          <t>ella tiene los bolsillos:; ella ve la notificación "Transferencia realizada"; ella ve el bolsillo "Vacaciones" con 70000; ella ve el bolsillo "Mercado" con 80000</t>
        </is>
      </c>
      <c r="M492" s="5" t="inlineStr">
        <is>
          <t>Todos los pasos pasaron</t>
        </is>
      </c>
      <c r="N492" s="7" t="inlineStr">
        <is>
          <t>Aprobado</t>
        </is>
      </c>
      <c r="O492" s="5" t="inlineStr">
        <is>
          <t>2026-10-27</t>
        </is>
      </c>
      <c r="P492" s="5" t="inlineStr">
        <is>
          <t>docs/evidencia-final-equipo/serenity-equipo-corrida.txt</t>
        </is>
      </c>
      <c r="Q492" s="5" t="inlineStr">
        <is>
          <t>-</t>
        </is>
      </c>
    </row>
    <row r="493">
      <c r="A493" s="5" t="inlineStr">
        <is>
          <t>Stiven Alejandro Bustamante</t>
        </is>
      </c>
      <c r="B493" s="5" t="inlineStr">
        <is>
          <t>Bolsillos</t>
        </is>
      </c>
      <c r="C493" s="5" t="inlineStr">
        <is>
          <t>HU-26</t>
        </is>
      </c>
      <c r="D493" s="5" t="inlineStr">
        <is>
          <t>Transferir entre bolsillos</t>
        </is>
      </c>
      <c r="E493" s="5" t="inlineStr">
        <is>
          <t>Stagehand</t>
        </is>
      </c>
      <c r="F493" s="5" t="inlineStr">
        <is>
          <t>SH-B05</t>
        </is>
      </c>
      <c r="G493" s="5" t="inlineStr">
        <is>
          <t>La IA mueve dinero de un bolsillo a otro con el formulario de transferencia.</t>
        </is>
      </c>
      <c r="H493" s="5" t="inlineStr">
        <is>
          <t>Sistema (E2E con IA)</t>
        </is>
      </c>
      <c r="I493" s="5" t="inlineStr">
        <is>
          <t>Funcional</t>
        </is>
      </c>
      <c r="J493" s="5" t="inlineStr">
        <is>
          <t>Stagehand (google/gemini-3.5-flash-lite)</t>
        </is>
      </c>
      <c r="K493" s="5" t="inlineStr">
        <is>
          <t>e2e/stagehand/src/bolsillos/scenarios.ts</t>
        </is>
      </c>
      <c r="L493" s="5" t="inlineStr">
        <is>
          <t>Toast "Transferencia realizada", Vacaciones 70.000, Mercado 80.000 y la cuenta sigue en 350.000.</t>
        </is>
      </c>
      <c r="M493" s="5" t="inlineStr">
        <is>
          <t>4/4 validaciones correctas</t>
        </is>
      </c>
      <c r="N493" s="7" t="inlineStr">
        <is>
          <t>Aprobado</t>
        </is>
      </c>
      <c r="O493" s="5" t="inlineStr">
        <is>
          <t>2026-10-27</t>
        </is>
      </c>
      <c r="P493" s="5" t="inlineStr">
        <is>
          <t>e2e/stagehand/evidence/bolsillos/SH-B05-report.json</t>
        </is>
      </c>
      <c r="Q493" s="5" t="inlineStr">
        <is>
          <t>-</t>
        </is>
      </c>
    </row>
    <row r="494">
      <c r="A494" s="5" t="inlineStr">
        <is>
          <t>Stiven Alejandro Bustamante</t>
        </is>
      </c>
      <c r="B494" s="5" t="inlineStr">
        <is>
          <t>Bolsillos</t>
        </is>
      </c>
      <c r="C494" s="5" t="inlineStr">
        <is>
          <t>HU-26</t>
        </is>
      </c>
      <c r="D494" s="5" t="inlineStr">
        <is>
          <t>Transferir entre bolsillos</t>
        </is>
      </c>
      <c r="E494" s="5" t="inlineStr">
        <is>
          <t>Vitest backend · unitaria</t>
        </is>
      </c>
      <c r="F494" s="5" t="inlineStr">
        <is>
          <t>VT-TransferPocketBalance.test</t>
        </is>
      </c>
      <c r="G494" s="5" t="inlineStr">
        <is>
          <t>TransferPocketBalance.test.ts (11 pruebas)</t>
        </is>
      </c>
      <c r="H494" s="5" t="inlineStr">
        <is>
          <t>Unitaria / Integración</t>
        </is>
      </c>
      <c r="I494" s="5" t="inlineStr">
        <is>
          <t>Funcional</t>
        </is>
      </c>
      <c r="J494" s="5" t="inlineStr">
        <is>
          <t>Vitest backend</t>
        </is>
      </c>
      <c r="K494" s="5" t="inlineStr">
        <is>
          <t>backend/src/tests/unit/pocket/TransferPocketBalance.test.ts</t>
        </is>
      </c>
      <c r="L494" s="5" t="inlineStr">
        <is>
          <t>Todas las pruebas del archivo pasan</t>
        </is>
      </c>
      <c r="M494" s="5" t="inlineStr">
        <is>
          <t>11/11 pasan</t>
        </is>
      </c>
      <c r="N494" s="7" t="inlineStr">
        <is>
          <t>Aprobado</t>
        </is>
      </c>
      <c r="O494" s="5" t="inlineStr">
        <is>
          <t>2026-10-27</t>
        </is>
      </c>
      <c r="P494" s="5" t="inlineStr">
        <is>
          <t>docs/evidencia-final-equipo/vitest-backend.json</t>
        </is>
      </c>
      <c r="Q494" s="5" t="inlineStr">
        <is>
          <t>-</t>
        </is>
      </c>
    </row>
    <row r="495">
      <c r="A495" s="5" t="inlineStr">
        <is>
          <t>Stiven Alejandro Bustamante</t>
        </is>
      </c>
      <c r="B495" s="5" t="inlineStr">
        <is>
          <t>Bolsillos</t>
        </is>
      </c>
      <c r="C495" s="5" t="inlineStr">
        <is>
          <t>HU-26</t>
        </is>
      </c>
      <c r="D495" s="5" t="inlineStr">
        <is>
          <t>Transferir entre bolsillos</t>
        </is>
      </c>
      <c r="E495" s="5" t="inlineStr">
        <is>
          <t>Vitest backend · regresión</t>
        </is>
      </c>
      <c r="F495" s="5" t="inlineStr">
        <is>
          <t>VT-transferir.regression.test</t>
        </is>
      </c>
      <c r="G495" s="5" t="inlineStr">
        <is>
          <t>transferir.regression.test.ts (15 pruebas)</t>
        </is>
      </c>
      <c r="H495" s="5" t="inlineStr">
        <is>
          <t>Unitaria / Integración</t>
        </is>
      </c>
      <c r="I495" s="5" t="inlineStr">
        <is>
          <t>Funcional</t>
        </is>
      </c>
      <c r="J495" s="5" t="inlineStr">
        <is>
          <t>Vitest backend</t>
        </is>
      </c>
      <c r="K495" s="5" t="inlineStr">
        <is>
          <t>backend/src/tests/regression/pocket/transferir.regression.test.ts</t>
        </is>
      </c>
      <c r="L495" s="5" t="inlineStr">
        <is>
          <t>Todas las pruebas del archivo pasan</t>
        </is>
      </c>
      <c r="M495" s="5" t="inlineStr">
        <is>
          <t>15/15 pasan</t>
        </is>
      </c>
      <c r="N495" s="7" t="inlineStr">
        <is>
          <t>Aprobado</t>
        </is>
      </c>
      <c r="O495" s="5" t="inlineStr">
        <is>
          <t>2026-10-27</t>
        </is>
      </c>
      <c r="P495" s="5" t="inlineStr">
        <is>
          <t>docs/evidencia-final-equipo/vitest-backend.json</t>
        </is>
      </c>
      <c r="Q495" s="5" t="inlineStr">
        <is>
          <t>-</t>
        </is>
      </c>
    </row>
    <row r="496">
      <c r="A496" s="5" t="inlineStr">
        <is>
          <t>Stiven Alejandro Bustamante</t>
        </is>
      </c>
      <c r="B496" s="5" t="inlineStr">
        <is>
          <t>Cuentas</t>
        </is>
      </c>
      <c r="C496" s="5" t="inlineStr">
        <is>
          <t>EX-DEP</t>
        </is>
      </c>
      <c r="D496" s="5" t="inlineStr">
        <is>
          <t>Depositar dinero (funcionalidad extra)</t>
        </is>
      </c>
      <c r="E496" s="5" t="inlineStr">
        <is>
          <t>ESC042</t>
        </is>
      </c>
      <c r="F496" s="5" t="inlineStr">
        <is>
          <t>TC-142</t>
        </is>
      </c>
      <c r="G496" s="5" t="inlineStr">
        <is>
          <t>Monto válido con descripción</t>
        </is>
      </c>
      <c r="H496" s="5" t="inlineStr">
        <is>
          <t>Sistema</t>
        </is>
      </c>
      <c r="I496" s="5" t="inlineStr">
        <is>
          <t>Funcional</t>
        </is>
      </c>
      <c r="J496" s="5" t="inlineStr">
        <is>
          <t>Casos del Excel (diseño + ejecución manual)</t>
        </is>
      </c>
      <c r="K496" s="5" t="inlineStr">
        <is>
          <t>Casos y Escenarios FuBank.xlsx</t>
        </is>
      </c>
      <c r="L496" s="5" t="inlineStr">
        <is>
          <t>Se deposita un monto válido con descripción; el sistema acredita el monto y aumenta el saldo disponible.</t>
        </is>
      </c>
      <c r="M496" s="5" t="inlineStr">
        <is>
          <t>Según lo esperado</t>
        </is>
      </c>
      <c r="N496" s="7" t="inlineStr">
        <is>
          <t>Aprobado</t>
        </is>
      </c>
      <c r="O496" s="5" t="inlineStr">
        <is>
          <t>2026-10-10</t>
        </is>
      </c>
      <c r="P496" s="5" t="inlineStr">
        <is>
          <t>Excel (hoja Casos de Prueba Detallado)</t>
        </is>
      </c>
      <c r="Q496" s="5" t="inlineStr">
        <is>
          <t>-</t>
        </is>
      </c>
    </row>
    <row r="497">
      <c r="A497" s="5" t="inlineStr">
        <is>
          <t>Stiven Alejandro Bustamante</t>
        </is>
      </c>
      <c r="B497" s="5" t="inlineStr">
        <is>
          <t>Cuentas</t>
        </is>
      </c>
      <c r="C497" s="5" t="inlineStr">
        <is>
          <t>EX-DEP</t>
        </is>
      </c>
      <c r="D497" s="5" t="inlineStr">
        <is>
          <t>Depositar dinero (funcionalidad extra)</t>
        </is>
      </c>
      <c r="E497" s="5" t="inlineStr">
        <is>
          <t>ESC042</t>
        </is>
      </c>
      <c r="F497" s="5" t="inlineStr">
        <is>
          <t>TC-143</t>
        </is>
      </c>
      <c r="G497" s="5" t="inlineStr">
        <is>
          <t>Monto válido sin descripción</t>
        </is>
      </c>
      <c r="H497" s="5" t="inlineStr">
        <is>
          <t>Sistema</t>
        </is>
      </c>
      <c r="I497" s="5" t="inlineStr">
        <is>
          <t>Funcional</t>
        </is>
      </c>
      <c r="J497" s="5" t="inlineStr">
        <is>
          <t>Casos del Excel (diseño + ejecución manual)</t>
        </is>
      </c>
      <c r="K497" s="5" t="inlineStr">
        <is>
          <t>Casos y Escenarios FuBank.xlsx</t>
        </is>
      </c>
      <c r="L497" s="5" t="inlineStr">
        <is>
          <t>Se deposita un monto válido dejando la descripción vacía; el sistema lo permite porque el campo es opcional.</t>
        </is>
      </c>
      <c r="M497" s="5" t="inlineStr">
        <is>
          <t>Según lo esperado</t>
        </is>
      </c>
      <c r="N497" s="7" t="inlineStr">
        <is>
          <t>Aprobado</t>
        </is>
      </c>
      <c r="O497" s="5" t="inlineStr">
        <is>
          <t>2026-10-10</t>
        </is>
      </c>
      <c r="P497" s="5" t="inlineStr">
        <is>
          <t>Excel (hoja Casos de Prueba Detallado)</t>
        </is>
      </c>
      <c r="Q497" s="5" t="inlineStr">
        <is>
          <t>-</t>
        </is>
      </c>
    </row>
    <row r="498">
      <c r="A498" s="5" t="inlineStr">
        <is>
          <t>Stiven Alejandro Bustamante</t>
        </is>
      </c>
      <c r="B498" s="5" t="inlineStr">
        <is>
          <t>Cuentas</t>
        </is>
      </c>
      <c r="C498" s="5" t="inlineStr">
        <is>
          <t>EX-DEP</t>
        </is>
      </c>
      <c r="D498" s="5" t="inlineStr">
        <is>
          <t>Depositar dinero (funcionalidad extra)</t>
        </is>
      </c>
      <c r="E498" s="5" t="inlineStr">
        <is>
          <t>ESC042</t>
        </is>
      </c>
      <c r="F498" s="5" t="inlineStr">
        <is>
          <t>TC-144</t>
        </is>
      </c>
      <c r="G498" s="5" t="inlineStr">
        <is>
          <t>Monto mínimo válido (límite)</t>
        </is>
      </c>
      <c r="H498" s="5" t="inlineStr">
        <is>
          <t>Sistema</t>
        </is>
      </c>
      <c r="I498" s="5" t="inlineStr">
        <is>
          <t>Funcional</t>
        </is>
      </c>
      <c r="J498" s="5" t="inlineStr">
        <is>
          <t>Casos del Excel (diseño + ejecución manual)</t>
        </is>
      </c>
      <c r="K498" s="5" t="inlineStr">
        <is>
          <t>Casos y Escenarios FuBank.xlsx</t>
        </is>
      </c>
      <c r="L498" s="5" t="inlineStr">
        <is>
          <t>Se deposita el monto mínimo válido (1); el sistema lo acepta.</t>
        </is>
      </c>
      <c r="M498" s="5" t="inlineStr">
        <is>
          <t>Según lo esperado</t>
        </is>
      </c>
      <c r="N498" s="7" t="inlineStr">
        <is>
          <t>Aprobado</t>
        </is>
      </c>
      <c r="O498" s="5" t="inlineStr">
        <is>
          <t>2026-10-10</t>
        </is>
      </c>
      <c r="P498" s="5" t="inlineStr">
        <is>
          <t>Excel (hoja Casos de Prueba Detallado)</t>
        </is>
      </c>
      <c r="Q498" s="5" t="inlineStr">
        <is>
          <t>-</t>
        </is>
      </c>
    </row>
    <row r="499">
      <c r="A499" s="5" t="inlineStr">
        <is>
          <t>Stiven Alejandro Bustamante</t>
        </is>
      </c>
      <c r="B499" s="5" t="inlineStr">
        <is>
          <t>Cuentas</t>
        </is>
      </c>
      <c r="C499" s="5" t="inlineStr">
        <is>
          <t>EX-DEP</t>
        </is>
      </c>
      <c r="D499" s="5" t="inlineStr">
        <is>
          <t>Depositar dinero (funcionalidad extra)</t>
        </is>
      </c>
      <c r="E499" s="5" t="inlineStr">
        <is>
          <t>ESC042</t>
        </is>
      </c>
      <c r="F499" s="5" t="inlineStr">
        <is>
          <t>TC-145</t>
        </is>
      </c>
      <c r="G499" s="5" t="inlineStr">
        <is>
          <t>Depósitos sucesivos se acumulan</t>
        </is>
      </c>
      <c r="H499" s="5" t="inlineStr">
        <is>
          <t>Sistema</t>
        </is>
      </c>
      <c r="I499" s="5" t="inlineStr">
        <is>
          <t>Funcional</t>
        </is>
      </c>
      <c r="J499" s="5" t="inlineStr">
        <is>
          <t>Casos del Excel (diseño + ejecución manual)</t>
        </is>
      </c>
      <c r="K499" s="5" t="inlineStr">
        <is>
          <t>Casos y Escenarios FuBank.xlsx</t>
        </is>
      </c>
      <c r="L499" s="5" t="inlineStr">
        <is>
          <t>Se realizan dos depósitos seguidos; el sistema suma ambos montos al saldo.</t>
        </is>
      </c>
      <c r="M499" s="5" t="inlineStr">
        <is>
          <t>Según lo esperado</t>
        </is>
      </c>
      <c r="N499" s="7" t="inlineStr">
        <is>
          <t>Aprobado</t>
        </is>
      </c>
      <c r="O499" s="5" t="inlineStr">
        <is>
          <t>2026-10-10</t>
        </is>
      </c>
      <c r="P499" s="5" t="inlineStr">
        <is>
          <t>Excel (hoja Casos de Prueba Detallado)</t>
        </is>
      </c>
      <c r="Q499" s="5" t="inlineStr">
        <is>
          <t>-</t>
        </is>
      </c>
    </row>
    <row r="500">
      <c r="A500" s="5" t="inlineStr">
        <is>
          <t>Stiven Alejandro Bustamante</t>
        </is>
      </c>
      <c r="B500" s="5" t="inlineStr">
        <is>
          <t>Cuentas</t>
        </is>
      </c>
      <c r="C500" s="5" t="inlineStr">
        <is>
          <t>EX-DEP</t>
        </is>
      </c>
      <c r="D500" s="5" t="inlineStr">
        <is>
          <t>Depositar dinero (funcionalidad extra)</t>
        </is>
      </c>
      <c r="E500" s="5" t="inlineStr">
        <is>
          <t>ESC042</t>
        </is>
      </c>
      <c r="F500" s="5" t="inlineStr">
        <is>
          <t>TC-146</t>
        </is>
      </c>
      <c r="G500" s="5" t="inlineStr">
        <is>
          <t>Generación de notificación</t>
        </is>
      </c>
      <c r="H500" s="5" t="inlineStr">
        <is>
          <t>Sistema</t>
        </is>
      </c>
      <c r="I500" s="5" t="inlineStr">
        <is>
          <t>Funcional</t>
        </is>
      </c>
      <c r="J500" s="5" t="inlineStr">
        <is>
          <t>Casos del Excel (diseño + ejecución manual)</t>
        </is>
      </c>
      <c r="K500" s="5" t="inlineStr">
        <is>
          <t>Casos y Escenarios FuBank.xlsx</t>
        </is>
      </c>
      <c r="L500" s="5" t="inlineStr">
        <is>
          <t>Al depositar, el sistema registra la notificación 'Depósito realizado'.</t>
        </is>
      </c>
      <c r="M500" s="5" t="inlineStr">
        <is>
          <t>Según lo esperado</t>
        </is>
      </c>
      <c r="N500" s="7" t="inlineStr">
        <is>
          <t>Aprobado</t>
        </is>
      </c>
      <c r="O500" s="5" t="inlineStr">
        <is>
          <t>2026-10-10</t>
        </is>
      </c>
      <c r="P500" s="5" t="inlineStr">
        <is>
          <t>Excel (hoja Casos de Prueba Detallado)</t>
        </is>
      </c>
      <c r="Q500" s="5" t="inlineStr">
        <is>
          <t>-</t>
        </is>
      </c>
    </row>
    <row r="501">
      <c r="A501" s="5" t="inlineStr">
        <is>
          <t>Stiven Alejandro Bustamante</t>
        </is>
      </c>
      <c r="B501" s="5" t="inlineStr">
        <is>
          <t>Cuentas</t>
        </is>
      </c>
      <c r="C501" s="5" t="inlineStr">
        <is>
          <t>EX-DEP</t>
        </is>
      </c>
      <c r="D501" s="5" t="inlineStr">
        <is>
          <t>Depositar dinero (funcionalidad extra)</t>
        </is>
      </c>
      <c r="E501" s="5" t="inlineStr">
        <is>
          <t>ESC042</t>
        </is>
      </c>
      <c r="F501" s="5" t="inlineStr">
        <is>
          <t>TC-147</t>
        </is>
      </c>
      <c r="G501" s="5" t="inlineStr">
        <is>
          <t>Saldo depositado disponible en Bolsillos</t>
        </is>
      </c>
      <c r="H501" s="5" t="inlineStr">
        <is>
          <t>Sistema</t>
        </is>
      </c>
      <c r="I501" s="5" t="inlineStr">
        <is>
          <t>Funcional</t>
        </is>
      </c>
      <c r="J501" s="5" t="inlineStr">
        <is>
          <t>Casos del Excel (diseño + ejecución manual)</t>
        </is>
      </c>
      <c r="K501" s="5" t="inlineStr">
        <is>
          <t>Casos y Escenarios FuBank.xlsx</t>
        </is>
      </c>
      <c r="L501" s="5" t="inlineStr">
        <is>
          <t>El dinero depositado queda disponible en el módulo de Bolsillos y se puede reservar en un bolsillo nuevo.</t>
        </is>
      </c>
      <c r="M501" s="5" t="inlineStr">
        <is>
          <t>Según lo esperado</t>
        </is>
      </c>
      <c r="N501" s="7" t="inlineStr">
        <is>
          <t>Aprobado</t>
        </is>
      </c>
      <c r="O501" s="5" t="inlineStr">
        <is>
          <t>2026-10-10</t>
        </is>
      </c>
      <c r="P501" s="5" t="inlineStr">
        <is>
          <t>Excel (hoja Casos de Prueba Detallado)</t>
        </is>
      </c>
      <c r="Q501" s="5" t="inlineStr">
        <is>
          <t>-</t>
        </is>
      </c>
    </row>
    <row r="502">
      <c r="A502" s="5" t="inlineStr">
        <is>
          <t>Stiven Alejandro Bustamante</t>
        </is>
      </c>
      <c r="B502" s="5" t="inlineStr">
        <is>
          <t>Cuentas</t>
        </is>
      </c>
      <c r="C502" s="5" t="inlineStr">
        <is>
          <t>EX-DEP</t>
        </is>
      </c>
      <c r="D502" s="5" t="inlineStr">
        <is>
          <t>Depositar dinero (funcionalidad extra)</t>
        </is>
      </c>
      <c r="E502" s="5" t="inlineStr">
        <is>
          <t>ESC043</t>
        </is>
      </c>
      <c r="F502" s="5" t="inlineStr">
        <is>
          <t>TC-148</t>
        </is>
      </c>
      <c r="G502" s="5" t="inlineStr">
        <is>
          <t>Monto igual a cero (límite)</t>
        </is>
      </c>
      <c r="H502" s="5" t="inlineStr">
        <is>
          <t>Sistema</t>
        </is>
      </c>
      <c r="I502" s="5" t="inlineStr">
        <is>
          <t>Funcional</t>
        </is>
      </c>
      <c r="J502" s="5" t="inlineStr">
        <is>
          <t>Casos del Excel (diseño + ejecución manual)</t>
        </is>
      </c>
      <c r="K502" s="5" t="inlineStr">
        <is>
          <t>Casos y Escenarios FuBank.xlsx</t>
        </is>
      </c>
      <c r="L502" s="5" t="inlineStr">
        <is>
          <t>Se intenta depositar un monto de 0; el sistema lo rechaza.</t>
        </is>
      </c>
      <c r="M502" s="5" t="inlineStr">
        <is>
          <t>Según lo esperado</t>
        </is>
      </c>
      <c r="N502" s="7" t="inlineStr">
        <is>
          <t>Aprobado</t>
        </is>
      </c>
      <c r="O502" s="5" t="inlineStr">
        <is>
          <t>2026-10-10</t>
        </is>
      </c>
      <c r="P502" s="5" t="inlineStr">
        <is>
          <t>Excel (hoja Casos de Prueba Detallado)</t>
        </is>
      </c>
      <c r="Q502" s="5" t="inlineStr">
        <is>
          <t>-</t>
        </is>
      </c>
    </row>
    <row r="503">
      <c r="A503" s="5" t="inlineStr">
        <is>
          <t>Stiven Alejandro Bustamante</t>
        </is>
      </c>
      <c r="B503" s="5" t="inlineStr">
        <is>
          <t>Cuentas</t>
        </is>
      </c>
      <c r="C503" s="5" t="inlineStr">
        <is>
          <t>EX-DEP</t>
        </is>
      </c>
      <c r="D503" s="5" t="inlineStr">
        <is>
          <t>Depositar dinero (funcionalidad extra)</t>
        </is>
      </c>
      <c r="E503" s="5" t="inlineStr">
        <is>
          <t>ESC043</t>
        </is>
      </c>
      <c r="F503" s="5" t="inlineStr">
        <is>
          <t>TC-149</t>
        </is>
      </c>
      <c r="G503" s="5" t="inlineStr">
        <is>
          <t>Monto negativo</t>
        </is>
      </c>
      <c r="H503" s="5" t="inlineStr">
        <is>
          <t>Sistema</t>
        </is>
      </c>
      <c r="I503" s="5" t="inlineStr">
        <is>
          <t>Funcional</t>
        </is>
      </c>
      <c r="J503" s="5" t="inlineStr">
        <is>
          <t>Casos del Excel (diseño + ejecución manual)</t>
        </is>
      </c>
      <c r="K503" s="5" t="inlineStr">
        <is>
          <t>Casos y Escenarios FuBank.xlsx</t>
        </is>
      </c>
      <c r="L503" s="5" t="inlineStr">
        <is>
          <t>Se intenta depositar un monto negativo; el sistema lo rechaza.</t>
        </is>
      </c>
      <c r="M503" s="5" t="inlineStr">
        <is>
          <t>Según lo esperado</t>
        </is>
      </c>
      <c r="N503" s="7" t="inlineStr">
        <is>
          <t>Aprobado</t>
        </is>
      </c>
      <c r="O503" s="5" t="inlineStr">
        <is>
          <t>2026-10-10</t>
        </is>
      </c>
      <c r="P503" s="5" t="inlineStr">
        <is>
          <t>Excel (hoja Casos de Prueba Detallado)</t>
        </is>
      </c>
      <c r="Q503" s="5" t="inlineStr">
        <is>
          <t>-</t>
        </is>
      </c>
    </row>
    <row r="504">
      <c r="A504" s="5" t="inlineStr">
        <is>
          <t>Stiven Alejandro Bustamante</t>
        </is>
      </c>
      <c r="B504" s="5" t="inlineStr">
        <is>
          <t>Cuentas</t>
        </is>
      </c>
      <c r="C504" s="5" t="inlineStr">
        <is>
          <t>EX-DEP</t>
        </is>
      </c>
      <c r="D504" s="5" t="inlineStr">
        <is>
          <t>Depositar dinero (funcionalidad extra)</t>
        </is>
      </c>
      <c r="E504" s="5" t="inlineStr">
        <is>
          <t>ESC043</t>
        </is>
      </c>
      <c r="F504" s="5" t="inlineStr">
        <is>
          <t>TC-150</t>
        </is>
      </c>
      <c r="G504" s="5" t="inlineStr">
        <is>
          <t>Monto vacío</t>
        </is>
      </c>
      <c r="H504" s="5" t="inlineStr">
        <is>
          <t>Sistema</t>
        </is>
      </c>
      <c r="I504" s="5" t="inlineStr">
        <is>
          <t>Funcional</t>
        </is>
      </c>
      <c r="J504" s="5" t="inlineStr">
        <is>
          <t>Casos del Excel (diseño + ejecución manual)</t>
        </is>
      </c>
      <c r="K504" s="5" t="inlineStr">
        <is>
          <t>Casos y Escenarios FuBank.xlsx</t>
        </is>
      </c>
      <c r="L504" s="5" t="inlineStr">
        <is>
          <t>Se intenta depositar sin escribir el monto; el formulario no se envía.</t>
        </is>
      </c>
      <c r="M504" s="5" t="inlineStr">
        <is>
          <t>Según lo esperado</t>
        </is>
      </c>
      <c r="N504" s="7" t="inlineStr">
        <is>
          <t>Aprobado</t>
        </is>
      </c>
      <c r="O504" s="5" t="inlineStr">
        <is>
          <t>2026-10-10</t>
        </is>
      </c>
      <c r="P504" s="5" t="inlineStr">
        <is>
          <t>Excel (hoja Casos de Prueba Detallado)</t>
        </is>
      </c>
      <c r="Q504" s="5" t="inlineStr">
        <is>
          <t>-</t>
        </is>
      </c>
    </row>
    <row r="505">
      <c r="A505" s="5" t="inlineStr">
        <is>
          <t>Stiven Alejandro Bustamante</t>
        </is>
      </c>
      <c r="B505" s="5" t="inlineStr">
        <is>
          <t>Cuentas</t>
        </is>
      </c>
      <c r="C505" s="5" t="inlineStr">
        <is>
          <t>EX-DEP</t>
        </is>
      </c>
      <c r="D505" s="5" t="inlineStr">
        <is>
          <t>Depositar dinero (funcionalidad extra)</t>
        </is>
      </c>
      <c r="E505" s="5" t="inlineStr">
        <is>
          <t>ESC044</t>
        </is>
      </c>
      <c r="F505" s="5" t="inlineStr">
        <is>
          <t>TC-151</t>
        </is>
      </c>
      <c r="G505" s="5" t="inlineStr">
        <is>
          <t>Cancelar con el botón 'Cancelar'</t>
        </is>
      </c>
      <c r="H505" s="5" t="inlineStr">
        <is>
          <t>Sistema</t>
        </is>
      </c>
      <c r="I505" s="5" t="inlineStr">
        <is>
          <t>Funcional</t>
        </is>
      </c>
      <c r="J505" s="5" t="inlineStr">
        <is>
          <t>Casos del Excel (diseño + ejecución manual)</t>
        </is>
      </c>
      <c r="K505" s="5" t="inlineStr">
        <is>
          <t>Casos y Escenarios FuBank.xlsx</t>
        </is>
      </c>
      <c r="L505" s="5" t="inlineStr">
        <is>
          <t>Se escribe un monto y se presiona 'Cancelar'; el sistema no realiza el depósito.</t>
        </is>
      </c>
      <c r="M505" s="5" t="inlineStr">
        <is>
          <t>Según lo esperado</t>
        </is>
      </c>
      <c r="N505" s="7" t="inlineStr">
        <is>
          <t>Aprobado</t>
        </is>
      </c>
      <c r="O505" s="5" t="inlineStr">
        <is>
          <t>2026-10-10</t>
        </is>
      </c>
      <c r="P505" s="5" t="inlineStr">
        <is>
          <t>Excel (hoja Casos de Prueba Detallado)</t>
        </is>
      </c>
      <c r="Q505" s="5" t="inlineStr">
        <is>
          <t>-</t>
        </is>
      </c>
    </row>
    <row r="506">
      <c r="A506" s="5" t="inlineStr">
        <is>
          <t>Stiven Alejandro Bustamante</t>
        </is>
      </c>
      <c r="B506" s="5" t="inlineStr">
        <is>
          <t>Cuentas</t>
        </is>
      </c>
      <c r="C506" s="5" t="inlineStr">
        <is>
          <t>EX-DEP</t>
        </is>
      </c>
      <c r="D506" s="5" t="inlineStr">
        <is>
          <t>Depositar dinero (funcionalidad extra)</t>
        </is>
      </c>
      <c r="E506" s="5" t="inlineStr">
        <is>
          <t>ESC044</t>
        </is>
      </c>
      <c r="F506" s="5" t="inlineStr">
        <is>
          <t>TC-152</t>
        </is>
      </c>
      <c r="G506" s="5" t="inlineStr">
        <is>
          <t>Cerrar la ventana con la X</t>
        </is>
      </c>
      <c r="H506" s="5" t="inlineStr">
        <is>
          <t>Sistema</t>
        </is>
      </c>
      <c r="I506" s="5" t="inlineStr">
        <is>
          <t>Usabilidad</t>
        </is>
      </c>
      <c r="J506" s="5" t="inlineStr">
        <is>
          <t>Casos del Excel (diseño + ejecución manual)</t>
        </is>
      </c>
      <c r="K506" s="5" t="inlineStr">
        <is>
          <t>Casos y Escenarios FuBank.xlsx</t>
        </is>
      </c>
      <c r="L506" s="5" t="inlineStr">
        <is>
          <t>Se escribe un monto y se cierra la ventana con la X; el sistema no realiza el depósito.</t>
        </is>
      </c>
      <c r="M506" s="5" t="inlineStr">
        <is>
          <t>Según lo esperado</t>
        </is>
      </c>
      <c r="N506" s="7" t="inlineStr">
        <is>
          <t>Aprobado</t>
        </is>
      </c>
      <c r="O506" s="5" t="inlineStr">
        <is>
          <t>2026-10-10</t>
        </is>
      </c>
      <c r="P506" s="5" t="inlineStr">
        <is>
          <t>Excel (hoja Casos de Prueba Detallado)</t>
        </is>
      </c>
      <c r="Q506" s="5" t="inlineStr">
        <is>
          <t>-</t>
        </is>
      </c>
    </row>
    <row r="507">
      <c r="A507" s="5" t="inlineStr">
        <is>
          <t>Stiven Alejandro Bustamante</t>
        </is>
      </c>
      <c r="B507" s="5" t="inlineStr">
        <is>
          <t>Cuentas</t>
        </is>
      </c>
      <c r="C507" s="5" t="inlineStr">
        <is>
          <t>EX-DEP</t>
        </is>
      </c>
      <c r="D507" s="5" t="inlineStr">
        <is>
          <t>Depositar dinero (funcionalidad extra)</t>
        </is>
      </c>
      <c r="E507" s="5" t="inlineStr">
        <is>
          <t>abonar_y_ahorrar.feature</t>
        </is>
      </c>
      <c r="F507" s="5" t="inlineStr">
        <is>
          <t>CY-ABON-01</t>
        </is>
      </c>
      <c r="G507" s="5" t="inlineStr">
        <is>
          <t>Abonar a la cuenta y apartar una parte en un bolsillo nuevo</t>
        </is>
      </c>
      <c r="H507" s="5" t="inlineStr">
        <is>
          <t>Sistema (E2E)</t>
        </is>
      </c>
      <c r="I507" s="5" t="inlineStr">
        <is>
          <t>Funcional</t>
        </is>
      </c>
      <c r="J507" s="5" t="inlineStr">
        <is>
          <t>Cypress + Gherkin (Bolsillos)</t>
        </is>
      </c>
      <c r="K507" s="5" t="inlineStr">
        <is>
          <t>e2e/serenity/features/recorrido/abonar_y_ahorrar.feature</t>
        </is>
      </c>
      <c r="L507" s="5" t="inlineStr">
        <is>
          <t>él está en la pantalla de cuentas; él ve el saldo de su cuenta en 200000; él crea el bolsillo "Emergencias" con 50000; él ve el bolsillo "Emergencias" con 50000; el saldo de su cuenta es 150000</t>
        </is>
      </c>
      <c r="M507" s="5" t="inlineStr">
        <is>
          <t>Todos los pasos pasaron</t>
        </is>
      </c>
      <c r="N507" s="7" t="inlineStr">
        <is>
          <t>Aprobado</t>
        </is>
      </c>
      <c r="O507" s="5" t="inlineStr">
        <is>
          <t>2026-10-27</t>
        </is>
      </c>
      <c r="P507" s="5" t="inlineStr">
        <is>
          <t>docs/evidencia-cypress-bolsillos/despues/cucumber-report.html</t>
        </is>
      </c>
      <c r="Q507" s="5" t="inlineStr">
        <is>
          <t>-</t>
        </is>
      </c>
    </row>
    <row r="508">
      <c r="A508" s="5" t="inlineStr">
        <is>
          <t>Stiven Alejandro Bustamante</t>
        </is>
      </c>
      <c r="B508" s="5" t="inlineStr">
        <is>
          <t>Cuentas</t>
        </is>
      </c>
      <c r="C508" s="5" t="inlineStr">
        <is>
          <t>EX-DEP</t>
        </is>
      </c>
      <c r="D508" s="5" t="inlineStr">
        <is>
          <t>Depositar dinero (funcionalidad extra)</t>
        </is>
      </c>
      <c r="E508" s="5" t="inlineStr">
        <is>
          <t>accesibilidad.feature</t>
        </is>
      </c>
      <c r="F508" s="5" t="inlineStr">
        <is>
          <t>CY-ACCE-03</t>
        </is>
      </c>
      <c r="G508" s="5" t="inlineStr">
        <is>
          <t>La pantalla de cuentas no tiene violaciones graves de accesibilidad</t>
        </is>
      </c>
      <c r="H508" s="5" t="inlineStr">
        <is>
          <t>Sistema (E2E)</t>
        </is>
      </c>
      <c r="I508" s="5" t="inlineStr">
        <is>
          <t>Accesibilidad</t>
        </is>
      </c>
      <c r="J508" s="5" t="inlineStr">
        <is>
          <t>Cypress + Gherkin (Bolsillos)</t>
        </is>
      </c>
      <c r="K508" s="5" t="inlineStr">
        <is>
          <t>cypress/bolsillos/features/accesibilidad.feature</t>
        </is>
      </c>
      <c r="L508" s="5" t="inlineStr">
        <is>
          <t>ella tiene el bolsillo "Vacaciones" con 100000; la pantalla no tiene violaciones de accesibilidad graves</t>
        </is>
      </c>
      <c r="M508" s="5" t="inlineStr">
        <is>
          <t>Todos los pasos pasaron</t>
        </is>
      </c>
      <c r="N508" s="7" t="inlineStr">
        <is>
          <t>Aprobado</t>
        </is>
      </c>
      <c r="O508" s="5" t="inlineStr">
        <is>
          <t>2026-10-27</t>
        </is>
      </c>
      <c r="P508" s="5" t="inlineStr">
        <is>
          <t>docs/evidencia-cypress-bolsillos/despues/cucumber-report.html</t>
        </is>
      </c>
      <c r="Q508" s="5" t="inlineStr">
        <is>
          <t>-</t>
        </is>
      </c>
    </row>
    <row r="509">
      <c r="A509" s="5" t="inlineStr">
        <is>
          <t>Stiven Alejandro Bustamante</t>
        </is>
      </c>
      <c r="B509" s="5" t="inlineStr">
        <is>
          <t>Cuentas</t>
        </is>
      </c>
      <c r="C509" s="5" t="inlineStr">
        <is>
          <t>EX-DEP</t>
        </is>
      </c>
      <c r="D509" s="5" t="inlineStr">
        <is>
          <t>Depositar dinero (funcionalidad extra)</t>
        </is>
      </c>
      <c r="E509" s="5" t="inlineStr">
        <is>
          <t>accesibilidad.feature</t>
        </is>
      </c>
      <c r="F509" s="5" t="inlineStr">
        <is>
          <t>CY-ACCE-04</t>
        </is>
      </c>
      <c r="G509" s="5" t="inlineStr">
        <is>
          <t>El modal para abonar a la cuenta es accesible</t>
        </is>
      </c>
      <c r="H509" s="5" t="inlineStr">
        <is>
          <t>Sistema (E2E)</t>
        </is>
      </c>
      <c r="I509" s="5" t="inlineStr">
        <is>
          <t>Accesibilidad</t>
        </is>
      </c>
      <c r="J509" s="5" t="inlineStr">
        <is>
          <t>Cypress + Gherkin (Bolsillos)</t>
        </is>
      </c>
      <c r="K509" s="5" t="inlineStr">
        <is>
          <t>cypress/bolsillos/features/accesibilidad.feature</t>
        </is>
      </c>
      <c r="L509" s="5" t="inlineStr">
        <is>
          <t>ella tiene el bolsillo "Vacaciones" con 100000; el diálogo no tiene violaciones de accesibilidad graves; la pantalla no tiene violaciones de accesibilidad graves fuera de los diálogos</t>
        </is>
      </c>
      <c r="M509" s="5" t="inlineStr">
        <is>
          <t>Todos los pasos pasaron</t>
        </is>
      </c>
      <c r="N509" s="7" t="inlineStr">
        <is>
          <t>Aprobado</t>
        </is>
      </c>
      <c r="O509" s="5" t="inlineStr">
        <is>
          <t>2026-10-27</t>
        </is>
      </c>
      <c r="P509" s="5" t="inlineStr">
        <is>
          <t>docs/evidencia-cypress-bolsillos/despues/cucumber-report.html</t>
        </is>
      </c>
      <c r="Q509" s="5" t="inlineStr">
        <is>
          <t>-</t>
        </is>
      </c>
    </row>
    <row r="510">
      <c r="A510" s="5" t="inlineStr">
        <is>
          <t>Stiven Alejandro Bustamante</t>
        </is>
      </c>
      <c r="B510" s="5" t="inlineStr">
        <is>
          <t>Cuentas</t>
        </is>
      </c>
      <c r="C510" s="5" t="inlineStr">
        <is>
          <t>EX-DEP</t>
        </is>
      </c>
      <c r="D510" s="5" t="inlineStr">
        <is>
          <t>Depositar dinero (funcionalidad extra)</t>
        </is>
      </c>
      <c r="E510" s="5" t="inlineStr">
        <is>
          <t>depositar.feature</t>
        </is>
      </c>
      <c r="F510" s="5" t="inlineStr">
        <is>
          <t>CY-DEPO-01</t>
        </is>
      </c>
      <c r="G510" s="5" t="inlineStr">
        <is>
          <t>Depositar un monto válido</t>
        </is>
      </c>
      <c r="H510" s="5" t="inlineStr">
        <is>
          <t>Integración (API)</t>
        </is>
      </c>
      <c r="I510" s="5" t="inlineStr">
        <is>
          <t>Funcional</t>
        </is>
      </c>
      <c r="J510" s="5" t="inlineStr">
        <is>
          <t>Cypress + Gherkin (Bolsillos)</t>
        </is>
      </c>
      <c r="K510" s="5" t="inlineStr">
        <is>
          <t>e2e/serenity/features/deposito/depositar.feature</t>
        </is>
      </c>
      <c r="L510" s="5" t="inlineStr">
        <is>
          <t>la respuesta HTTP tiene estado 200; el saldo de su cuenta es 250000</t>
        </is>
      </c>
      <c r="M510" s="5" t="inlineStr">
        <is>
          <t>Todos los pasos pasaron</t>
        </is>
      </c>
      <c r="N510" s="7" t="inlineStr">
        <is>
          <t>Aprobado</t>
        </is>
      </c>
      <c r="O510" s="5" t="inlineStr">
        <is>
          <t>2026-10-27</t>
        </is>
      </c>
      <c r="P510" s="5" t="inlineStr">
        <is>
          <t>docs/evidencia-cypress-bolsillos/despues/cucumber-report.html</t>
        </is>
      </c>
      <c r="Q510" s="5" t="inlineStr">
        <is>
          <t>-</t>
        </is>
      </c>
    </row>
    <row r="511">
      <c r="A511" s="5" t="inlineStr">
        <is>
          <t>Stiven Alejandro Bustamante</t>
        </is>
      </c>
      <c r="B511" s="5" t="inlineStr">
        <is>
          <t>Cuentas</t>
        </is>
      </c>
      <c r="C511" s="5" t="inlineStr">
        <is>
          <t>EX-DEP</t>
        </is>
      </c>
      <c r="D511" s="5" t="inlineStr">
        <is>
          <t>Depositar dinero (funcionalidad extra)</t>
        </is>
      </c>
      <c r="E511" s="5" t="inlineStr">
        <is>
          <t>depositar.feature</t>
        </is>
      </c>
      <c r="F511" s="5" t="inlineStr">
        <is>
          <t>CY-DEPO-02</t>
        </is>
      </c>
      <c r="G511" s="5" t="inlineStr">
        <is>
          <t>Los depósitos se acumulan en el saldo</t>
        </is>
      </c>
      <c r="H511" s="5" t="inlineStr">
        <is>
          <t>Integración (API)</t>
        </is>
      </c>
      <c r="I511" s="5" t="inlineStr">
        <is>
          <t>Funcional</t>
        </is>
      </c>
      <c r="J511" s="5" t="inlineStr">
        <is>
          <t>Cypress + Gherkin (Bolsillos)</t>
        </is>
      </c>
      <c r="K511" s="5" t="inlineStr">
        <is>
          <t>e2e/serenity/features/deposito/depositar.feature</t>
        </is>
      </c>
      <c r="L511" s="5" t="inlineStr">
        <is>
          <t>él deposita por API 50000 en su cuenta; el saldo de su cuenta es 150000</t>
        </is>
      </c>
      <c r="M511" s="5" t="inlineStr">
        <is>
          <t>Todos los pasos pasaron</t>
        </is>
      </c>
      <c r="N511" s="7" t="inlineStr">
        <is>
          <t>Aprobado</t>
        </is>
      </c>
      <c r="O511" s="5" t="inlineStr">
        <is>
          <t>2026-10-27</t>
        </is>
      </c>
      <c r="P511" s="5" t="inlineStr">
        <is>
          <t>docs/evidencia-cypress-bolsillos/despues/cucumber-report.html</t>
        </is>
      </c>
      <c r="Q511" s="5" t="inlineStr">
        <is>
          <t>-</t>
        </is>
      </c>
    </row>
    <row r="512">
      <c r="A512" s="5" t="inlineStr">
        <is>
          <t>Stiven Alejandro Bustamante</t>
        </is>
      </c>
      <c r="B512" s="5" t="inlineStr">
        <is>
          <t>Cuentas</t>
        </is>
      </c>
      <c r="C512" s="5" t="inlineStr">
        <is>
          <t>EX-DEP</t>
        </is>
      </c>
      <c r="D512" s="5" t="inlineStr">
        <is>
          <t>Depositar dinero (funcionalidad extra)</t>
        </is>
      </c>
      <c r="E512" s="5" t="inlineStr">
        <is>
          <t>depositar.feature</t>
        </is>
      </c>
      <c r="F512" s="5" t="inlineStr">
        <is>
          <t>CY-DEPO-03</t>
        </is>
      </c>
      <c r="G512" s="5" t="inlineStr">
        <is>
          <t>Rechazar un depósito de 0</t>
        </is>
      </c>
      <c r="H512" s="5" t="inlineStr">
        <is>
          <t>Integración (API)</t>
        </is>
      </c>
      <c r="I512" s="5" t="inlineStr">
        <is>
          <t>Funcional</t>
        </is>
      </c>
      <c r="J512" s="5" t="inlineStr">
        <is>
          <t>Cypress + Gherkin (Bolsillos)</t>
        </is>
      </c>
      <c r="K512" s="5" t="inlineStr">
        <is>
          <t>e2e/serenity/features/deposito/depositar.feature</t>
        </is>
      </c>
      <c r="L512" s="5" t="inlineStr">
        <is>
          <t>la respuesta HTTP tiene estado 400; el código de error es "INVALID_AMOUNT"; el saldo de su cuenta es 0</t>
        </is>
      </c>
      <c r="M512" s="5" t="inlineStr">
        <is>
          <t>Todos los pasos pasaron</t>
        </is>
      </c>
      <c r="N512" s="7" t="inlineStr">
        <is>
          <t>Aprobado</t>
        </is>
      </c>
      <c r="O512" s="5" t="inlineStr">
        <is>
          <t>2026-10-27</t>
        </is>
      </c>
      <c r="P512" s="5" t="inlineStr">
        <is>
          <t>docs/evidencia-cypress-bolsillos/despues/cucumber-report.html</t>
        </is>
      </c>
      <c r="Q512" s="5" t="inlineStr">
        <is>
          <t>-</t>
        </is>
      </c>
    </row>
    <row r="513">
      <c r="A513" s="5" t="inlineStr">
        <is>
          <t>Stiven Alejandro Bustamante</t>
        </is>
      </c>
      <c r="B513" s="5" t="inlineStr">
        <is>
          <t>Cuentas</t>
        </is>
      </c>
      <c r="C513" s="5" t="inlineStr">
        <is>
          <t>EX-DEP</t>
        </is>
      </c>
      <c r="D513" s="5" t="inlineStr">
        <is>
          <t>Depositar dinero (funcionalidad extra)</t>
        </is>
      </c>
      <c r="E513" s="5" t="inlineStr">
        <is>
          <t>depositar.feature</t>
        </is>
      </c>
      <c r="F513" s="5" t="inlineStr">
        <is>
          <t>CY-DEPO-04</t>
        </is>
      </c>
      <c r="G513" s="5" t="inlineStr">
        <is>
          <t>Rechazar un depósito de -50000</t>
        </is>
      </c>
      <c r="H513" s="5" t="inlineStr">
        <is>
          <t>Integración (API)</t>
        </is>
      </c>
      <c r="I513" s="5" t="inlineStr">
        <is>
          <t>Funcional</t>
        </is>
      </c>
      <c r="J513" s="5" t="inlineStr">
        <is>
          <t>Cypress + Gherkin (Bolsillos)</t>
        </is>
      </c>
      <c r="K513" s="5" t="inlineStr">
        <is>
          <t>e2e/serenity/features/deposito/depositar.feature</t>
        </is>
      </c>
      <c r="L513" s="5" t="inlineStr">
        <is>
          <t>la respuesta HTTP tiene estado 400; el código de error es "INVALID_AMOUNT"; el saldo de su cuenta es 0</t>
        </is>
      </c>
      <c r="M513" s="5" t="inlineStr">
        <is>
          <t>Todos los pasos pasaron</t>
        </is>
      </c>
      <c r="N513" s="7" t="inlineStr">
        <is>
          <t>Aprobado</t>
        </is>
      </c>
      <c r="O513" s="5" t="inlineStr">
        <is>
          <t>2026-10-27</t>
        </is>
      </c>
      <c r="P513" s="5" t="inlineStr">
        <is>
          <t>docs/evidencia-cypress-bolsillos/despues/cucumber-report.html</t>
        </is>
      </c>
      <c r="Q513" s="5" t="inlineStr">
        <is>
          <t>-</t>
        </is>
      </c>
    </row>
    <row r="514">
      <c r="A514" s="5" t="inlineStr">
        <is>
          <t>Stiven Alejandro Bustamante</t>
        </is>
      </c>
      <c r="B514" s="5" t="inlineStr">
        <is>
          <t>Cuentas</t>
        </is>
      </c>
      <c r="C514" s="5" t="inlineStr">
        <is>
          <t>EX-DEP</t>
        </is>
      </c>
      <c r="D514" s="5" t="inlineStr">
        <is>
          <t>Depositar dinero (funcionalidad extra)</t>
        </is>
      </c>
      <c r="E514" s="5" t="inlineStr">
        <is>
          <t>depositar.feature</t>
        </is>
      </c>
      <c r="F514" s="5" t="inlineStr">
        <is>
          <t>CY-DEPO-05</t>
        </is>
      </c>
      <c r="G514" s="5" t="inlineStr">
        <is>
          <t>Rechazar un monto que no es un número (true)</t>
        </is>
      </c>
      <c r="H514" s="5" t="inlineStr">
        <is>
          <t>Integración (API)</t>
        </is>
      </c>
      <c r="I514" s="5" t="inlineStr">
        <is>
          <t>Seguridad</t>
        </is>
      </c>
      <c r="J514" s="5" t="inlineStr">
        <is>
          <t>Cypress + Gherkin (Bolsillos)</t>
        </is>
      </c>
      <c r="K514" s="5" t="inlineStr">
        <is>
          <t>e2e/serenity/features/deposito/depositar.feature</t>
        </is>
      </c>
      <c r="L514" s="5" t="inlineStr">
        <is>
          <t>la respuesta HTTP tiene estado 400; el código de error es "INVALID_AMOUNT"; el saldo de su cuenta es 0</t>
        </is>
      </c>
      <c r="M514" s="5" t="inlineStr">
        <is>
          <t>Todos los pasos pasaron</t>
        </is>
      </c>
      <c r="N514" s="7" t="inlineStr">
        <is>
          <t>Aprobado</t>
        </is>
      </c>
      <c r="O514" s="5" t="inlineStr">
        <is>
          <t>2026-10-27</t>
        </is>
      </c>
      <c r="P514" s="5" t="inlineStr">
        <is>
          <t>docs/evidencia-cypress-bolsillos/despues/cucumber-report.html</t>
        </is>
      </c>
      <c r="Q514" s="5" t="inlineStr">
        <is>
          <t>-</t>
        </is>
      </c>
    </row>
    <row r="515">
      <c r="A515" s="5" t="inlineStr">
        <is>
          <t>Stiven Alejandro Bustamante</t>
        </is>
      </c>
      <c r="B515" s="5" t="inlineStr">
        <is>
          <t>Cuentas</t>
        </is>
      </c>
      <c r="C515" s="5" t="inlineStr">
        <is>
          <t>EX-DEP</t>
        </is>
      </c>
      <c r="D515" s="5" t="inlineStr">
        <is>
          <t>Depositar dinero (funcionalidad extra)</t>
        </is>
      </c>
      <c r="E515" s="5" t="inlineStr">
        <is>
          <t>depositar.feature</t>
        </is>
      </c>
      <c r="F515" s="5" t="inlineStr">
        <is>
          <t>CY-DEPO-06</t>
        </is>
      </c>
      <c r="G515" s="5" t="inlineStr">
        <is>
          <t>Rechazar un monto que no es un número ("abc")</t>
        </is>
      </c>
      <c r="H515" s="5" t="inlineStr">
        <is>
          <t>Integración (API)</t>
        </is>
      </c>
      <c r="I515" s="5" t="inlineStr">
        <is>
          <t>Seguridad</t>
        </is>
      </c>
      <c r="J515" s="5" t="inlineStr">
        <is>
          <t>Cypress + Gherkin (Bolsillos)</t>
        </is>
      </c>
      <c r="K515" s="5" t="inlineStr">
        <is>
          <t>e2e/serenity/features/deposito/depositar.feature</t>
        </is>
      </c>
      <c r="L515" s="5" t="inlineStr">
        <is>
          <t>la respuesta HTTP tiene estado 400; el código de error es "INVALID_AMOUNT"; el saldo de su cuenta es 0</t>
        </is>
      </c>
      <c r="M515" s="5" t="inlineStr">
        <is>
          <t>Todos los pasos pasaron</t>
        </is>
      </c>
      <c r="N515" s="7" t="inlineStr">
        <is>
          <t>Aprobado</t>
        </is>
      </c>
      <c r="O515" s="5" t="inlineStr">
        <is>
          <t>2026-10-27</t>
        </is>
      </c>
      <c r="P515" s="5" t="inlineStr">
        <is>
          <t>docs/evidencia-cypress-bolsillos/despues/cucumber-report.html</t>
        </is>
      </c>
      <c r="Q515" s="5" t="inlineStr">
        <is>
          <t>-</t>
        </is>
      </c>
    </row>
    <row r="516">
      <c r="A516" s="5" t="inlineStr">
        <is>
          <t>Stiven Alejandro Bustamante</t>
        </is>
      </c>
      <c r="B516" s="5" t="inlineStr">
        <is>
          <t>Cuentas</t>
        </is>
      </c>
      <c r="C516" s="5" t="inlineStr">
        <is>
          <t>EX-DEP</t>
        </is>
      </c>
      <c r="D516" s="5" t="inlineStr">
        <is>
          <t>Depositar dinero (funcionalidad extra)</t>
        </is>
      </c>
      <c r="E516" s="5" t="inlineStr">
        <is>
          <t>depositar.feature</t>
        </is>
      </c>
      <c r="F516" s="5" t="inlineStr">
        <is>
          <t>CY-DEPO-07</t>
        </is>
      </c>
      <c r="G516" s="5" t="inlineStr">
        <is>
          <t>Rechazar un monto que no es un número (null)</t>
        </is>
      </c>
      <c r="H516" s="5" t="inlineStr">
        <is>
          <t>Integración (API)</t>
        </is>
      </c>
      <c r="I516" s="5" t="inlineStr">
        <is>
          <t>Seguridad</t>
        </is>
      </c>
      <c r="J516" s="5" t="inlineStr">
        <is>
          <t>Cypress + Gherkin (Bolsillos)</t>
        </is>
      </c>
      <c r="K516" s="5" t="inlineStr">
        <is>
          <t>e2e/serenity/features/deposito/depositar.feature</t>
        </is>
      </c>
      <c r="L516" s="5" t="inlineStr">
        <is>
          <t>la respuesta HTTP tiene estado 400; el código de error es "INVALID_AMOUNT"; el saldo de su cuenta es 0</t>
        </is>
      </c>
      <c r="M516" s="5" t="inlineStr">
        <is>
          <t>Todos los pasos pasaron</t>
        </is>
      </c>
      <c r="N516" s="7" t="inlineStr">
        <is>
          <t>Aprobado</t>
        </is>
      </c>
      <c r="O516" s="5" t="inlineStr">
        <is>
          <t>2026-10-27</t>
        </is>
      </c>
      <c r="P516" s="5" t="inlineStr">
        <is>
          <t>docs/evidencia-cypress-bolsillos/despues/cucumber-report.html</t>
        </is>
      </c>
      <c r="Q516" s="5" t="inlineStr">
        <is>
          <t>-</t>
        </is>
      </c>
    </row>
    <row r="517">
      <c r="A517" s="5" t="inlineStr">
        <is>
          <t>Stiven Alejandro Bustamante</t>
        </is>
      </c>
      <c r="B517" s="5" t="inlineStr">
        <is>
          <t>Cuentas</t>
        </is>
      </c>
      <c r="C517" s="5" t="inlineStr">
        <is>
          <t>EX-DEP</t>
        </is>
      </c>
      <c r="D517" s="5" t="inlineStr">
        <is>
          <t>Depositar dinero (funcionalidad extra)</t>
        </is>
      </c>
      <c r="E517" s="5" t="inlineStr">
        <is>
          <t>depositar.feature</t>
        </is>
      </c>
      <c r="F517" s="5" t="inlineStr">
        <is>
          <t>CY-DEPO-08</t>
        </is>
      </c>
      <c r="G517" s="5" t="inlineStr">
        <is>
          <t>Rechazar un monto que no es un número ([1000])</t>
        </is>
      </c>
      <c r="H517" s="5" t="inlineStr">
        <is>
          <t>Integración (API)</t>
        </is>
      </c>
      <c r="I517" s="5" t="inlineStr">
        <is>
          <t>Seguridad</t>
        </is>
      </c>
      <c r="J517" s="5" t="inlineStr">
        <is>
          <t>Cypress + Gherkin (Bolsillos)</t>
        </is>
      </c>
      <c r="K517" s="5" t="inlineStr">
        <is>
          <t>e2e/serenity/features/deposito/depositar.feature</t>
        </is>
      </c>
      <c r="L517" s="5" t="inlineStr">
        <is>
          <t>la respuesta HTTP tiene estado 400; el código de error es "INVALID_AMOUNT"; el saldo de su cuenta es 0</t>
        </is>
      </c>
      <c r="M517" s="5" t="inlineStr">
        <is>
          <t>Todos los pasos pasaron</t>
        </is>
      </c>
      <c r="N517" s="7" t="inlineStr">
        <is>
          <t>Aprobado</t>
        </is>
      </c>
      <c r="O517" s="5" t="inlineStr">
        <is>
          <t>2026-10-27</t>
        </is>
      </c>
      <c r="P517" s="5" t="inlineStr">
        <is>
          <t>docs/evidencia-cypress-bolsillos/despues/cucumber-report.html</t>
        </is>
      </c>
      <c r="Q517" s="5" t="inlineStr">
        <is>
          <t>-</t>
        </is>
      </c>
    </row>
    <row r="518">
      <c r="A518" s="5" t="inlineStr">
        <is>
          <t>Stiven Alejandro Bustamante</t>
        </is>
      </c>
      <c r="B518" s="5" t="inlineStr">
        <is>
          <t>Cuentas</t>
        </is>
      </c>
      <c r="C518" s="5" t="inlineStr">
        <is>
          <t>EX-DEP</t>
        </is>
      </c>
      <c r="D518" s="5" t="inlineStr">
        <is>
          <t>Depositar dinero (funcionalidad extra)</t>
        </is>
      </c>
      <c r="E518" s="5" t="inlineStr">
        <is>
          <t>depositar.feature</t>
        </is>
      </c>
      <c r="F518" s="5" t="inlineStr">
        <is>
          <t>CY-DEPO-09</t>
        </is>
      </c>
      <c r="G518" s="5" t="inlineStr">
        <is>
          <t>No se puede depositar en la cuenta de otro cliente</t>
        </is>
      </c>
      <c r="H518" s="5" t="inlineStr">
        <is>
          <t>Integración (API)</t>
        </is>
      </c>
      <c r="I518" s="5" t="inlineStr">
        <is>
          <t>Seguridad</t>
        </is>
      </c>
      <c r="J518" s="5" t="inlineStr">
        <is>
          <t>Cypress + Gherkin (Bolsillos)</t>
        </is>
      </c>
      <c r="K518" s="5" t="inlineStr">
        <is>
          <t>e2e/serenity/features/deposito/depositar.feature</t>
        </is>
      </c>
      <c r="L518" s="5" t="inlineStr">
        <is>
          <t>la respuesta HTTP tiene estado 403; el código de error es "FORBIDDEN"; el saldo de la cuenta de Diana es 100000</t>
        </is>
      </c>
      <c r="M518" s="5" t="inlineStr">
        <is>
          <t>Todos los pasos pasaron</t>
        </is>
      </c>
      <c r="N518" s="7" t="inlineStr">
        <is>
          <t>Aprobado</t>
        </is>
      </c>
      <c r="O518" s="5" t="inlineStr">
        <is>
          <t>2026-10-27</t>
        </is>
      </c>
      <c r="P518" s="5" t="inlineStr">
        <is>
          <t>docs/evidencia-cypress-bolsillos/despues/cucumber-report.html</t>
        </is>
      </c>
      <c r="Q518" s="5" t="inlineStr">
        <is>
          <t>-</t>
        </is>
      </c>
    </row>
    <row r="519">
      <c r="A519" s="5" t="inlineStr">
        <is>
          <t>Stiven Alejandro Bustamante</t>
        </is>
      </c>
      <c r="B519" s="5" t="inlineStr">
        <is>
          <t>Cuentas</t>
        </is>
      </c>
      <c r="C519" s="5" t="inlineStr">
        <is>
          <t>EX-DEP</t>
        </is>
      </c>
      <c r="D519" s="5" t="inlineStr">
        <is>
          <t>Depositar dinero (funcionalidad extra)</t>
        </is>
      </c>
      <c r="E519" s="5" t="inlineStr">
        <is>
          <t>depositar.feature</t>
        </is>
      </c>
      <c r="F519" s="5" t="inlineStr">
        <is>
          <t>CY-DEPO-10</t>
        </is>
      </c>
      <c r="G519" s="5" t="inlineStr">
        <is>
          <t>Abonar saldo desde la pantalla de cuentas</t>
        </is>
      </c>
      <c r="H519" s="5" t="inlineStr">
        <is>
          <t>Sistema (E2E)</t>
        </is>
      </c>
      <c r="I519" s="5" t="inlineStr">
        <is>
          <t>Funcional</t>
        </is>
      </c>
      <c r="J519" s="5" t="inlineStr">
        <is>
          <t>Cypress + Gherkin (Bolsillos)</t>
        </is>
      </c>
      <c r="K519" s="5" t="inlineStr">
        <is>
          <t>e2e/serenity/features/deposito/depositar.feature</t>
        </is>
      </c>
      <c r="L519" s="5" t="inlineStr">
        <is>
          <t>él ve la notificación "Deposito realizado"; él ve el saldo de su cuenta en 150000; el saldo de su cuenta es 150000</t>
        </is>
      </c>
      <c r="M519" s="5" t="inlineStr">
        <is>
          <t>Todos los pasos pasaron</t>
        </is>
      </c>
      <c r="N519" s="7" t="inlineStr">
        <is>
          <t>Aprobado</t>
        </is>
      </c>
      <c r="O519" s="5" t="inlineStr">
        <is>
          <t>2026-10-27</t>
        </is>
      </c>
      <c r="P519" s="5" t="inlineStr">
        <is>
          <t>docs/evidencia-cypress-bolsillos/despues/cucumber-report.html</t>
        </is>
      </c>
      <c r="Q519" s="5" t="inlineStr">
        <is>
          <t>-</t>
        </is>
      </c>
    </row>
    <row r="520">
      <c r="A520" s="5" t="inlineStr">
        <is>
          <t>Stiven Alejandro Bustamante</t>
        </is>
      </c>
      <c r="B520" s="5" t="inlineStr">
        <is>
          <t>Cuentas</t>
        </is>
      </c>
      <c r="C520" s="5" t="inlineStr">
        <is>
          <t>EX-DEP</t>
        </is>
      </c>
      <c r="D520" s="5" t="inlineStr">
        <is>
          <t>Depositar dinero (funcionalidad extra)</t>
        </is>
      </c>
      <c r="E520" s="5" t="inlineStr">
        <is>
          <t>depositar.feature</t>
        </is>
      </c>
      <c r="F520" s="5" t="inlineStr">
        <is>
          <t>CY-DEPO-11</t>
        </is>
      </c>
      <c r="G520" s="5" t="inlineStr">
        <is>
          <t>El formulario de abono rechaza un monto en cero</t>
        </is>
      </c>
      <c r="H520" s="5" t="inlineStr">
        <is>
          <t>Sistema (E2E)</t>
        </is>
      </c>
      <c r="I520" s="5" t="inlineStr">
        <is>
          <t>Funcional</t>
        </is>
      </c>
      <c r="J520" s="5" t="inlineStr">
        <is>
          <t>Cypress + Gherkin (Bolsillos)</t>
        </is>
      </c>
      <c r="K520" s="5" t="inlineStr">
        <is>
          <t>e2e/serenity/features/deposito/depositar.feature</t>
        </is>
      </c>
      <c r="L520" s="5" t="inlineStr">
        <is>
          <t>él ve el error del formulario "Por favor ingresa un monto válido mayor a cero."; el saldo de su cuenta es 0</t>
        </is>
      </c>
      <c r="M520" s="5" t="inlineStr">
        <is>
          <t>Todos los pasos pasaron</t>
        </is>
      </c>
      <c r="N520" s="7" t="inlineStr">
        <is>
          <t>Aprobado</t>
        </is>
      </c>
      <c r="O520" s="5" t="inlineStr">
        <is>
          <t>2026-10-27</t>
        </is>
      </c>
      <c r="P520" s="5" t="inlineStr">
        <is>
          <t>docs/evidencia-cypress-bolsillos/despues/cucumber-report.html</t>
        </is>
      </c>
      <c r="Q520" s="5" t="inlineStr">
        <is>
          <t>-</t>
        </is>
      </c>
    </row>
    <row r="521">
      <c r="A521" s="5" t="inlineStr">
        <is>
          <t>Stiven Alejandro Bustamante</t>
        </is>
      </c>
      <c r="B521" s="5" t="inlineStr">
        <is>
          <t>Cuentas</t>
        </is>
      </c>
      <c r="C521" s="5" t="inlineStr">
        <is>
          <t>EX-DEP</t>
        </is>
      </c>
      <c r="D521" s="5" t="inlineStr">
        <is>
          <t>Depositar dinero (funcionalidad extra)</t>
        </is>
      </c>
      <c r="E521" s="5" t="inlineStr">
        <is>
          <t>test-set-0</t>
        </is>
      </c>
      <c r="F521" s="5" t="inlineStr">
        <is>
          <t>KP-post-api-v1-accounts-by-id-deposit-1</t>
        </is>
      </c>
      <c r="G521" s="5" t="inlineStr">
        <is>
          <t>post-api-v1-accounts-by-id-deposit-1</t>
        </is>
      </c>
      <c r="H521" s="5" t="inlineStr">
        <is>
          <t>Integración (API, mocks de Supabase)</t>
        </is>
      </c>
      <c r="I521" s="5" t="inlineStr">
        <is>
          <t>Regresión</t>
        </is>
      </c>
      <c r="J521" s="5" t="inlineStr">
        <is>
          <t>IA · Keploy (Alejandro)</t>
        </is>
      </c>
      <c r="K521" s="5" t="inlineStr">
        <is>
          <t>03-keploy/evidence/test-set-0-saneado/tests/post-api-v1-accounts-by-id-deposit-1.yaml</t>
        </is>
      </c>
      <c r="L521" s="5" t="inlineStr">
        <is>
          <t>Respuesta igual a la grabada (ruido: token, id, Etag)</t>
        </is>
      </c>
      <c r="M521" s="5" t="inlineStr">
        <is>
          <t>Reproducido igual a lo grabado</t>
        </is>
      </c>
      <c r="N521" s="7" t="inlineStr">
        <is>
          <t>Aprobado</t>
        </is>
      </c>
      <c r="O521" s="5" t="inlineStr">
        <is>
          <t>2026-10-27</t>
        </is>
      </c>
      <c r="P521" s="5" t="inlineStr">
        <is>
          <t>03-keploy/evidence/02-replay-con-ruido-50-de-50.txt</t>
        </is>
      </c>
      <c r="Q521" s="5" t="inlineStr">
        <is>
          <t>-</t>
        </is>
      </c>
    </row>
    <row r="522">
      <c r="A522" s="5" t="inlineStr">
        <is>
          <t>Stiven Alejandro Bustamante</t>
        </is>
      </c>
      <c r="B522" s="5" t="inlineStr">
        <is>
          <t>Cuentas</t>
        </is>
      </c>
      <c r="C522" s="5" t="inlineStr">
        <is>
          <t>EX-DEP</t>
        </is>
      </c>
      <c r="D522" s="5" t="inlineStr">
        <is>
          <t>Depositar dinero (funcionalidad extra)</t>
        </is>
      </c>
      <c r="E522" s="5" t="inlineStr">
        <is>
          <t>test-set-0</t>
        </is>
      </c>
      <c r="F522" s="5" t="inlineStr">
        <is>
          <t>KP-post-api-v1-accounts-by-id-deposit-2</t>
        </is>
      </c>
      <c r="G522" s="5" t="inlineStr">
        <is>
          <t>post-api-v1-accounts-by-id-deposit-2</t>
        </is>
      </c>
      <c r="H522" s="5" t="inlineStr">
        <is>
          <t>Integración (API, mocks de Supabase)</t>
        </is>
      </c>
      <c r="I522" s="5" t="inlineStr">
        <is>
          <t>Regresión</t>
        </is>
      </c>
      <c r="J522" s="5" t="inlineStr">
        <is>
          <t>IA · Keploy (Alejandro)</t>
        </is>
      </c>
      <c r="K522" s="5" t="inlineStr">
        <is>
          <t>03-keploy/evidence/test-set-0-saneado/tests/post-api-v1-accounts-by-id-deposit-2.yaml</t>
        </is>
      </c>
      <c r="L522" s="5" t="inlineStr">
        <is>
          <t>Respuesta igual a la grabada (ruido: token, id, Etag)</t>
        </is>
      </c>
      <c r="M522" s="5" t="inlineStr">
        <is>
          <t>Reproducido igual a lo grabado</t>
        </is>
      </c>
      <c r="N522" s="7" t="inlineStr">
        <is>
          <t>Aprobado</t>
        </is>
      </c>
      <c r="O522" s="5" t="inlineStr">
        <is>
          <t>2026-10-27</t>
        </is>
      </c>
      <c r="P522" s="5" t="inlineStr">
        <is>
          <t>03-keploy/evidence/02-replay-con-ruido-50-de-50.txt</t>
        </is>
      </c>
      <c r="Q522" s="5" t="inlineStr">
        <is>
          <t>-</t>
        </is>
      </c>
    </row>
    <row r="523">
      <c r="A523" s="5" t="inlineStr">
        <is>
          <t>Stiven Alejandro Bustamante</t>
        </is>
      </c>
      <c r="B523" s="5" t="inlineStr">
        <is>
          <t>Cuentas</t>
        </is>
      </c>
      <c r="C523" s="5" t="inlineStr">
        <is>
          <t>EX-DEP</t>
        </is>
      </c>
      <c r="D523" s="5" t="inlineStr">
        <is>
          <t>Depositar dinero (funcionalidad extra)</t>
        </is>
      </c>
      <c r="E523" s="5" t="inlineStr">
        <is>
          <t>test-set-0</t>
        </is>
      </c>
      <c r="F523" s="5" t="inlineStr">
        <is>
          <t>KP-post-api-v1-accounts-by-id-deposit-3</t>
        </is>
      </c>
      <c r="G523" s="5" t="inlineStr">
        <is>
          <t>post-api-v1-accounts-by-id-deposit-3</t>
        </is>
      </c>
      <c r="H523" s="5" t="inlineStr">
        <is>
          <t>Integración (API, mocks de Supabase)</t>
        </is>
      </c>
      <c r="I523" s="5" t="inlineStr">
        <is>
          <t>Regresión</t>
        </is>
      </c>
      <c r="J523" s="5" t="inlineStr">
        <is>
          <t>IA · Keploy (Alejandro)</t>
        </is>
      </c>
      <c r="K523" s="5" t="inlineStr">
        <is>
          <t>03-keploy/evidence/test-set-0-saneado/tests/post-api-v1-accounts-by-id-deposit-3.yaml</t>
        </is>
      </c>
      <c r="L523" s="5" t="inlineStr">
        <is>
          <t>Respuesta igual a la grabada (ruido: token, id, Etag)</t>
        </is>
      </c>
      <c r="M523" s="5" t="inlineStr">
        <is>
          <t>Reproducido igual a lo grabado</t>
        </is>
      </c>
      <c r="N523" s="7" t="inlineStr">
        <is>
          <t>Aprobado</t>
        </is>
      </c>
      <c r="O523" s="5" t="inlineStr">
        <is>
          <t>2026-10-27</t>
        </is>
      </c>
      <c r="P523" s="5" t="inlineStr">
        <is>
          <t>03-keploy/evidence/02-replay-con-ruido-50-de-50.txt</t>
        </is>
      </c>
      <c r="Q523" s="5" t="inlineStr">
        <is>
          <t>-</t>
        </is>
      </c>
    </row>
    <row r="524">
      <c r="A524" s="5" t="inlineStr">
        <is>
          <t>Stiven Alejandro Bustamante</t>
        </is>
      </c>
      <c r="B524" s="5" t="inlineStr">
        <is>
          <t>Cuentas</t>
        </is>
      </c>
      <c r="C524" s="5" t="inlineStr">
        <is>
          <t>EX-DEP</t>
        </is>
      </c>
      <c r="D524" s="5" t="inlineStr">
        <is>
          <t>Depositar dinero (funcionalidad extra)</t>
        </is>
      </c>
      <c r="E524" s="5" t="inlineStr">
        <is>
          <t>test-set-0</t>
        </is>
      </c>
      <c r="F524" s="5" t="inlineStr">
        <is>
          <t>KP-post-api-v1-accounts-by-id-deposit-4</t>
        </is>
      </c>
      <c r="G524" s="5" t="inlineStr">
        <is>
          <t>post-api-v1-accounts-by-id-deposit-4</t>
        </is>
      </c>
      <c r="H524" s="5" t="inlineStr">
        <is>
          <t>Integración (API, mocks de Supabase)</t>
        </is>
      </c>
      <c r="I524" s="5" t="inlineStr">
        <is>
          <t>Regresión</t>
        </is>
      </c>
      <c r="J524" s="5" t="inlineStr">
        <is>
          <t>IA · Keploy (Alejandro)</t>
        </is>
      </c>
      <c r="K524" s="5" t="inlineStr">
        <is>
          <t>03-keploy/evidence/test-set-0-saneado/tests/post-api-v1-accounts-by-id-deposit-4.yaml</t>
        </is>
      </c>
      <c r="L524" s="5" t="inlineStr">
        <is>
          <t>Respuesta igual a la grabada (ruido: token, id, Etag)</t>
        </is>
      </c>
      <c r="M524" s="5" t="inlineStr">
        <is>
          <t>Reproducido igual a lo grabado</t>
        </is>
      </c>
      <c r="N524" s="7" t="inlineStr">
        <is>
          <t>Aprobado</t>
        </is>
      </c>
      <c r="O524" s="5" t="inlineStr">
        <is>
          <t>2026-10-27</t>
        </is>
      </c>
      <c r="P524" s="5" t="inlineStr">
        <is>
          <t>03-keploy/evidence/02-replay-con-ruido-50-de-50.txt</t>
        </is>
      </c>
      <c r="Q524" s="5" t="inlineStr">
        <is>
          <t>-</t>
        </is>
      </c>
    </row>
    <row r="525">
      <c r="A525" s="5" t="inlineStr">
        <is>
          <t>Stiven Alejandro Bustamante</t>
        </is>
      </c>
      <c r="B525" s="5" t="inlineStr">
        <is>
          <t>Cuentas</t>
        </is>
      </c>
      <c r="C525" s="5" t="inlineStr">
        <is>
          <t>EX-DEP</t>
        </is>
      </c>
      <c r="D525" s="5" t="inlineStr">
        <is>
          <t>Depositar dinero (funcionalidad extra)</t>
        </is>
      </c>
      <c r="E525" s="5" t="inlineStr">
        <is>
          <t>test-set-0</t>
        </is>
      </c>
      <c r="F525" s="5" t="inlineStr">
        <is>
          <t>KP-post-api-v1-accounts-by-id-deposit-5</t>
        </is>
      </c>
      <c r="G525" s="5" t="inlineStr">
        <is>
          <t>post-api-v1-accounts-by-id-deposit-5</t>
        </is>
      </c>
      <c r="H525" s="5" t="inlineStr">
        <is>
          <t>Integración (API, mocks de Supabase)</t>
        </is>
      </c>
      <c r="I525" s="5" t="inlineStr">
        <is>
          <t>Regresión</t>
        </is>
      </c>
      <c r="J525" s="5" t="inlineStr">
        <is>
          <t>IA · Keploy (Alejandro)</t>
        </is>
      </c>
      <c r="K525" s="5" t="inlineStr">
        <is>
          <t>03-keploy/evidence/test-set-0-saneado/tests/post-api-v1-accounts-by-id-deposit-5.yaml</t>
        </is>
      </c>
      <c r="L525" s="5" t="inlineStr">
        <is>
          <t>Respuesta igual a la grabada (ruido: token, id, Etag)</t>
        </is>
      </c>
      <c r="M525" s="5" t="inlineStr">
        <is>
          <t>Reproducido igual a lo grabado</t>
        </is>
      </c>
      <c r="N525" s="7" t="inlineStr">
        <is>
          <t>Aprobado</t>
        </is>
      </c>
      <c r="O525" s="5" t="inlineStr">
        <is>
          <t>2026-10-27</t>
        </is>
      </c>
      <c r="P525" s="5" t="inlineStr">
        <is>
          <t>03-keploy/evidence/02-replay-con-ruido-50-de-50.txt</t>
        </is>
      </c>
      <c r="Q525" s="5" t="inlineStr">
        <is>
          <t>-</t>
        </is>
      </c>
    </row>
    <row r="526">
      <c r="A526" s="5" t="inlineStr">
        <is>
          <t>Stiven Alejandro Bustamante</t>
        </is>
      </c>
      <c r="B526" s="5" t="inlineStr">
        <is>
          <t>Cuentas</t>
        </is>
      </c>
      <c r="C526" s="5" t="inlineStr">
        <is>
          <t>EX-DEP</t>
        </is>
      </c>
      <c r="D526" s="5" t="inlineStr">
        <is>
          <t>Depositar dinero (funcionalidad extra)</t>
        </is>
      </c>
      <c r="E526" s="5" t="inlineStr">
        <is>
          <t>test-set-0</t>
        </is>
      </c>
      <c r="F526" s="5" t="inlineStr">
        <is>
          <t>KP-post-api-v1-accounts-by-id-deposit-6</t>
        </is>
      </c>
      <c r="G526" s="5" t="inlineStr">
        <is>
          <t>post-api-v1-accounts-by-id-deposit-6</t>
        </is>
      </c>
      <c r="H526" s="5" t="inlineStr">
        <is>
          <t>Integración (API, mocks de Supabase)</t>
        </is>
      </c>
      <c r="I526" s="5" t="inlineStr">
        <is>
          <t>Regresión</t>
        </is>
      </c>
      <c r="J526" s="5" t="inlineStr">
        <is>
          <t>IA · Keploy (Alejandro)</t>
        </is>
      </c>
      <c r="K526" s="5" t="inlineStr">
        <is>
          <t>03-keploy/evidence/test-set-0-saneado/tests/post-api-v1-accounts-by-id-deposit-6.yaml</t>
        </is>
      </c>
      <c r="L526" s="5" t="inlineStr">
        <is>
          <t>Respuesta igual a la grabada (ruido: token, id, Etag)</t>
        </is>
      </c>
      <c r="M526" s="5" t="inlineStr">
        <is>
          <t>Reproducido igual a lo grabado</t>
        </is>
      </c>
      <c r="N526" s="7" t="inlineStr">
        <is>
          <t>Aprobado</t>
        </is>
      </c>
      <c r="O526" s="5" t="inlineStr">
        <is>
          <t>2026-10-27</t>
        </is>
      </c>
      <c r="P526" s="5" t="inlineStr">
        <is>
          <t>03-keploy/evidence/02-replay-con-ruido-50-de-50.txt</t>
        </is>
      </c>
      <c r="Q526" s="5" t="inlineStr">
        <is>
          <t>-</t>
        </is>
      </c>
    </row>
    <row r="527">
      <c r="A527" s="5" t="inlineStr">
        <is>
          <t>Stiven Alejandro Bustamante</t>
        </is>
      </c>
      <c r="B527" s="5" t="inlineStr">
        <is>
          <t>Cuentas</t>
        </is>
      </c>
      <c r="C527" s="5" t="inlineStr">
        <is>
          <t>EX-DEP</t>
        </is>
      </c>
      <c r="D527" s="5" t="inlineStr">
        <is>
          <t>Depositar dinero (funcionalidad extra)</t>
        </is>
      </c>
      <c r="E527" s="5" t="inlineStr">
        <is>
          <t>test-set-0</t>
        </is>
      </c>
      <c r="F527" s="5" t="inlineStr">
        <is>
          <t>KP-post-api-v1-accounts-by-id-deposit-7</t>
        </is>
      </c>
      <c r="G527" s="5" t="inlineStr">
        <is>
          <t>post-api-v1-accounts-by-id-deposit-7</t>
        </is>
      </c>
      <c r="H527" s="5" t="inlineStr">
        <is>
          <t>Integración (API, mocks de Supabase)</t>
        </is>
      </c>
      <c r="I527" s="5" t="inlineStr">
        <is>
          <t>Regresión</t>
        </is>
      </c>
      <c r="J527" s="5" t="inlineStr">
        <is>
          <t>IA · Keploy (Alejandro)</t>
        </is>
      </c>
      <c r="K527" s="5" t="inlineStr">
        <is>
          <t>03-keploy/evidence/test-set-0-saneado/tests/post-api-v1-accounts-by-id-deposit-7.yaml</t>
        </is>
      </c>
      <c r="L527" s="5" t="inlineStr">
        <is>
          <t>Respuesta igual a la grabada (ruido: token, id, Etag)</t>
        </is>
      </c>
      <c r="M527" s="5" t="inlineStr">
        <is>
          <t>Reproducido igual a lo grabado</t>
        </is>
      </c>
      <c r="N527" s="7" t="inlineStr">
        <is>
          <t>Aprobado</t>
        </is>
      </c>
      <c r="O527" s="5" t="inlineStr">
        <is>
          <t>2026-10-27</t>
        </is>
      </c>
      <c r="P527" s="5" t="inlineStr">
        <is>
          <t>03-keploy/evidence/02-replay-con-ruido-50-de-50.txt</t>
        </is>
      </c>
      <c r="Q527" s="5" t="inlineStr">
        <is>
          <t>-</t>
        </is>
      </c>
    </row>
    <row r="528">
      <c r="A528" s="5" t="inlineStr">
        <is>
          <t>Stiven Alejandro Bustamante</t>
        </is>
      </c>
      <c r="B528" s="5" t="inlineStr">
        <is>
          <t>Cuentas</t>
        </is>
      </c>
      <c r="C528" s="5" t="inlineStr">
        <is>
          <t>EX-DEP</t>
        </is>
      </c>
      <c r="D528" s="5" t="inlineStr">
        <is>
          <t>Depositar dinero (funcionalidad extra)</t>
        </is>
      </c>
      <c r="E528" s="5" t="inlineStr">
        <is>
          <t>test-set-0</t>
        </is>
      </c>
      <c r="F528" s="5" t="inlineStr">
        <is>
          <t>KP-post-api-v1-accounts-by-id-deposit-8</t>
        </is>
      </c>
      <c r="G528" s="5" t="inlineStr">
        <is>
          <t>post-api-v1-accounts-by-id-deposit-8</t>
        </is>
      </c>
      <c r="H528" s="5" t="inlineStr">
        <is>
          <t>Integración (API, mocks de Supabase)</t>
        </is>
      </c>
      <c r="I528" s="5" t="inlineStr">
        <is>
          <t>Regresión</t>
        </is>
      </c>
      <c r="J528" s="5" t="inlineStr">
        <is>
          <t>IA · Keploy (Alejandro)</t>
        </is>
      </c>
      <c r="K528" s="5" t="inlineStr">
        <is>
          <t>03-keploy/evidence/test-set-0-saneado/tests/post-api-v1-accounts-by-id-deposit-8.yaml</t>
        </is>
      </c>
      <c r="L528" s="5" t="inlineStr">
        <is>
          <t>Respuesta igual a la grabada (ruido: token, id, Etag)</t>
        </is>
      </c>
      <c r="M528" s="5" t="inlineStr">
        <is>
          <t>Reproducido igual a lo grabado</t>
        </is>
      </c>
      <c r="N528" s="7" t="inlineStr">
        <is>
          <t>Aprobado</t>
        </is>
      </c>
      <c r="O528" s="5" t="inlineStr">
        <is>
          <t>2026-10-27</t>
        </is>
      </c>
      <c r="P528" s="5" t="inlineStr">
        <is>
          <t>03-keploy/evidence/02-replay-con-ruido-50-de-50.txt</t>
        </is>
      </c>
      <c r="Q528" s="5" t="inlineStr">
        <is>
          <t>-</t>
        </is>
      </c>
    </row>
    <row r="529">
      <c r="A529" s="5" t="inlineStr">
        <is>
          <t>Stiven Alejandro Bustamante</t>
        </is>
      </c>
      <c r="B529" s="5" t="inlineStr">
        <is>
          <t>Cuentas</t>
        </is>
      </c>
      <c r="C529" s="5" t="inlineStr">
        <is>
          <t>EX-DEP</t>
        </is>
      </c>
      <c r="D529" s="5" t="inlineStr">
        <is>
          <t>Depositar dinero (funcionalidad extra)</t>
        </is>
      </c>
      <c r="E529" s="5" t="inlineStr">
        <is>
          <t>test-set-0</t>
        </is>
      </c>
      <c r="F529" s="5" t="inlineStr">
        <is>
          <t>KP-post-api-v1-accounts-by-id-deposit-9</t>
        </is>
      </c>
      <c r="G529" s="5" t="inlineStr">
        <is>
          <t>post-api-v1-accounts-by-id-deposit-9</t>
        </is>
      </c>
      <c r="H529" s="5" t="inlineStr">
        <is>
          <t>Integración (API, mocks de Supabase)</t>
        </is>
      </c>
      <c r="I529" s="5" t="inlineStr">
        <is>
          <t>Regresión</t>
        </is>
      </c>
      <c r="J529" s="5" t="inlineStr">
        <is>
          <t>IA · Keploy (Alejandro)</t>
        </is>
      </c>
      <c r="K529" s="5" t="inlineStr">
        <is>
          <t>03-keploy/evidence/test-set-0-saneado/tests/post-api-v1-accounts-by-id-deposit-9.yaml</t>
        </is>
      </c>
      <c r="L529" s="5" t="inlineStr">
        <is>
          <t>Respuesta igual a la grabada (ruido: token, id, Etag)</t>
        </is>
      </c>
      <c r="M529" s="5" t="inlineStr">
        <is>
          <t>Reproducido igual a lo grabado</t>
        </is>
      </c>
      <c r="N529" s="7" t="inlineStr">
        <is>
          <t>Aprobado</t>
        </is>
      </c>
      <c r="O529" s="5" t="inlineStr">
        <is>
          <t>2026-10-27</t>
        </is>
      </c>
      <c r="P529" s="5" t="inlineStr">
        <is>
          <t>03-keploy/evidence/02-replay-con-ruido-50-de-50.txt</t>
        </is>
      </c>
      <c r="Q529" s="5" t="inlineStr">
        <is>
          <t>-</t>
        </is>
      </c>
    </row>
    <row r="530">
      <c r="A530" s="5" t="inlineStr">
        <is>
          <t>Stiven Alejandro Bustamante</t>
        </is>
      </c>
      <c r="B530" s="5" t="inlineStr">
        <is>
          <t>Cuentas</t>
        </is>
      </c>
      <c r="C530" s="5" t="inlineStr">
        <is>
          <t>EX-DEP</t>
        </is>
      </c>
      <c r="D530" s="5" t="inlineStr">
        <is>
          <t>Depositar dinero (funcionalidad extra)</t>
        </is>
      </c>
      <c r="E530" s="5" t="inlineStr">
        <is>
          <t>depositar.spec.ts</t>
        </is>
      </c>
      <c r="F530" s="5" t="inlineStr">
        <is>
          <t>PW-DEP-01</t>
        </is>
      </c>
      <c r="G530" s="5" t="inlineStr">
        <is>
          <t>DEP-01 · Abonar un monto válido desde /accounts incrementa el saldo de la cuenta</t>
        </is>
      </c>
      <c r="H530" s="5" t="inlineStr">
        <is>
          <t>Sistema (E2E)</t>
        </is>
      </c>
      <c r="I530" s="5" t="inlineStr">
        <is>
          <t>Funcional</t>
        </is>
      </c>
      <c r="J530" s="5" t="inlineStr">
        <is>
          <t>IA · Playwright Test Agents (Alejandro)</t>
        </is>
      </c>
      <c r="K530" s="5" t="inlineStr">
        <is>
          <t>herramientas-alejandro/01-playwright-test-agents/tests/depositar.spec.ts</t>
        </is>
      </c>
      <c r="L530" s="5" t="inlineStr">
        <is>
          <t>Según specs/bolsillos-depositar.md</t>
        </is>
      </c>
      <c r="M530" s="5" t="inlineStr">
        <is>
          <t>Pasó</t>
        </is>
      </c>
      <c r="N530" s="7" t="inlineStr">
        <is>
          <t>Aprobado</t>
        </is>
      </c>
      <c r="O530" s="5" t="inlineStr">
        <is>
          <t>2026-10-27</t>
        </is>
      </c>
      <c r="P530" s="5" t="inlineStr">
        <is>
          <t>herramientas-alejandro/01-playwright-test-agents/evidence/html-report</t>
        </is>
      </c>
      <c r="Q530" s="5" t="inlineStr">
        <is>
          <t>-</t>
        </is>
      </c>
    </row>
    <row r="531">
      <c r="A531" s="5" t="inlineStr">
        <is>
          <t>Stiven Alejandro Bustamante</t>
        </is>
      </c>
      <c r="B531" s="5" t="inlineStr">
        <is>
          <t>Cuentas</t>
        </is>
      </c>
      <c r="C531" s="5" t="inlineStr">
        <is>
          <t>EX-DEP</t>
        </is>
      </c>
      <c r="D531" s="5" t="inlineStr">
        <is>
          <t>Depositar dinero (funcionalidad extra)</t>
        </is>
      </c>
      <c r="E531" s="5" t="inlineStr">
        <is>
          <t>depositar.spec.ts</t>
        </is>
      </c>
      <c r="F531" s="5" t="inlineStr">
        <is>
          <t>PW-DEP-02</t>
        </is>
      </c>
      <c r="G531" s="5" t="inlineStr">
        <is>
          <t>DEP-02 · Abonar con monto 0 (o negativo) muestra un error en línea y no cambia el saldo</t>
        </is>
      </c>
      <c r="H531" s="5" t="inlineStr">
        <is>
          <t>Sistema (E2E)</t>
        </is>
      </c>
      <c r="I531" s="5" t="inlineStr">
        <is>
          <t>Funcional</t>
        </is>
      </c>
      <c r="J531" s="5" t="inlineStr">
        <is>
          <t>IA · Playwright Test Agents (Alejandro)</t>
        </is>
      </c>
      <c r="K531" s="5" t="inlineStr">
        <is>
          <t>herramientas-alejandro/01-playwright-test-agents/tests/depositar.spec.ts</t>
        </is>
      </c>
      <c r="L531" s="5" t="inlineStr">
        <is>
          <t>Según specs/bolsillos-depositar.md</t>
        </is>
      </c>
      <c r="M531" s="5" t="inlineStr">
        <is>
          <t>Pasó</t>
        </is>
      </c>
      <c r="N531" s="7" t="inlineStr">
        <is>
          <t>Aprobado</t>
        </is>
      </c>
      <c r="O531" s="5" t="inlineStr">
        <is>
          <t>2026-10-27</t>
        </is>
      </c>
      <c r="P531" s="5" t="inlineStr">
        <is>
          <t>herramientas-alejandro/01-playwright-test-agents/evidence/html-report</t>
        </is>
      </c>
      <c r="Q531" s="5" t="inlineStr">
        <is>
          <t>-</t>
        </is>
      </c>
    </row>
    <row r="532">
      <c r="A532" s="5" t="inlineStr">
        <is>
          <t>Stiven Alejandro Bustamante</t>
        </is>
      </c>
      <c r="B532" s="5" t="inlineStr">
        <is>
          <t>Cuentas</t>
        </is>
      </c>
      <c r="C532" s="5" t="inlineStr">
        <is>
          <t>EX-DEP</t>
        </is>
      </c>
      <c r="D532" s="5" t="inlineStr">
        <is>
          <t>Depositar dinero (funcionalidad extra)</t>
        </is>
      </c>
      <c r="E532" s="5" t="inlineStr">
        <is>
          <t>06 Depositar dinero</t>
        </is>
      </c>
      <c r="F532" s="5" t="inlineStr">
        <is>
          <t>PM-DE-01</t>
        </is>
      </c>
      <c r="G532" s="5" t="inlineStr">
        <is>
          <t>Depositar 250.000 con descripción</t>
        </is>
      </c>
      <c r="H532" s="5" t="inlineStr">
        <is>
          <t>Integración (API)</t>
        </is>
      </c>
      <c r="I532" s="5" t="inlineStr">
        <is>
          <t>Funcional</t>
        </is>
      </c>
      <c r="J532" s="5" t="inlineStr">
        <is>
          <t>IA · Postman + Newman (Alejandro)</t>
        </is>
      </c>
      <c r="K532" s="5" t="inlineStr">
        <is>
          <t>herramientas-alejandro/02-postman-postbot</t>
        </is>
      </c>
      <c r="L532" s="5" t="inlineStr">
        <is>
          <t>Ver descripción del request</t>
        </is>
      </c>
      <c r="M532" s="5" t="inlineStr">
        <is>
          <t>4/4 aserciones</t>
        </is>
      </c>
      <c r="N532" s="7" t="inlineStr">
        <is>
          <t>Aprobado</t>
        </is>
      </c>
      <c r="O532" s="5" t="inlineStr">
        <is>
          <t>2026-10-27</t>
        </is>
      </c>
      <c r="P532" s="5" t="inlineStr">
        <is>
          <t>02-postman-postbot/evidence/newman-report.html</t>
        </is>
      </c>
      <c r="Q532" s="5" t="inlineStr">
        <is>
          <t>-</t>
        </is>
      </c>
    </row>
    <row r="533">
      <c r="A533" s="5" t="inlineStr">
        <is>
          <t>Stiven Alejandro Bustamante</t>
        </is>
      </c>
      <c r="B533" s="5" t="inlineStr">
        <is>
          <t>Cuentas</t>
        </is>
      </c>
      <c r="C533" s="5" t="inlineStr">
        <is>
          <t>EX-DEP</t>
        </is>
      </c>
      <c r="D533" s="5" t="inlineStr">
        <is>
          <t>Depositar dinero (funcionalidad extra)</t>
        </is>
      </c>
      <c r="E533" s="5" t="inlineStr">
        <is>
          <t>06 Depositar dinero</t>
        </is>
      </c>
      <c r="F533" s="5" t="inlineStr">
        <is>
          <t>PM-DE-02</t>
        </is>
      </c>
      <c r="G533" s="5" t="inlineStr">
        <is>
          <t>Rechazar monto 0</t>
        </is>
      </c>
      <c r="H533" s="5" t="inlineStr">
        <is>
          <t>Integración (API)</t>
        </is>
      </c>
      <c r="I533" s="5" t="inlineStr">
        <is>
          <t>Funcional</t>
        </is>
      </c>
      <c r="J533" s="5" t="inlineStr">
        <is>
          <t>IA · Postman + Newman (Alejandro)</t>
        </is>
      </c>
      <c r="K533" s="5" t="inlineStr">
        <is>
          <t>herramientas-alejandro/02-postman-postbot</t>
        </is>
      </c>
      <c r="L533" s="5" t="inlineStr">
        <is>
          <t>Ver descripción del request</t>
        </is>
      </c>
      <c r="M533" s="5" t="inlineStr">
        <is>
          <t>5/5 aserciones</t>
        </is>
      </c>
      <c r="N533" s="7" t="inlineStr">
        <is>
          <t>Aprobado</t>
        </is>
      </c>
      <c r="O533" s="5" t="inlineStr">
        <is>
          <t>2026-10-27</t>
        </is>
      </c>
      <c r="P533" s="5" t="inlineStr">
        <is>
          <t>02-postman-postbot/evidence/newman-report.html</t>
        </is>
      </c>
      <c r="Q533" s="5" t="inlineStr">
        <is>
          <t>-</t>
        </is>
      </c>
    </row>
    <row r="534">
      <c r="A534" s="5" t="inlineStr">
        <is>
          <t>Stiven Alejandro Bustamante</t>
        </is>
      </c>
      <c r="B534" s="5" t="inlineStr">
        <is>
          <t>Cuentas</t>
        </is>
      </c>
      <c r="C534" s="5" t="inlineStr">
        <is>
          <t>EX-DEP</t>
        </is>
      </c>
      <c r="D534" s="5" t="inlineStr">
        <is>
          <t>Depositar dinero (funcionalidad extra)</t>
        </is>
      </c>
      <c r="E534" s="5" t="inlineStr">
        <is>
          <t>06 Depositar dinero</t>
        </is>
      </c>
      <c r="F534" s="5" t="inlineStr">
        <is>
          <t>PM-DE-03</t>
        </is>
      </c>
      <c r="G534" s="5" t="inlineStr">
        <is>
          <t>Rechazar monto negativo</t>
        </is>
      </c>
      <c r="H534" s="5" t="inlineStr">
        <is>
          <t>Integración (API)</t>
        </is>
      </c>
      <c r="I534" s="5" t="inlineStr">
        <is>
          <t>Funcional</t>
        </is>
      </c>
      <c r="J534" s="5" t="inlineStr">
        <is>
          <t>IA · Postman + Newman (Alejandro)</t>
        </is>
      </c>
      <c r="K534" s="5" t="inlineStr">
        <is>
          <t>herramientas-alejandro/02-postman-postbot</t>
        </is>
      </c>
      <c r="L534" s="5" t="inlineStr">
        <is>
          <t>Ver descripción del request</t>
        </is>
      </c>
      <c r="M534" s="5" t="inlineStr">
        <is>
          <t>4/4 aserciones</t>
        </is>
      </c>
      <c r="N534" s="7" t="inlineStr">
        <is>
          <t>Aprobado</t>
        </is>
      </c>
      <c r="O534" s="5" t="inlineStr">
        <is>
          <t>2026-10-27</t>
        </is>
      </c>
      <c r="P534" s="5" t="inlineStr">
        <is>
          <t>02-postman-postbot/evidence/newman-report.html</t>
        </is>
      </c>
      <c r="Q534" s="5" t="inlineStr">
        <is>
          <t>-</t>
        </is>
      </c>
    </row>
    <row r="535">
      <c r="A535" s="5" t="inlineStr">
        <is>
          <t>Stiven Alejandro Bustamante</t>
        </is>
      </c>
      <c r="B535" s="5" t="inlineStr">
        <is>
          <t>Cuentas</t>
        </is>
      </c>
      <c r="C535" s="5" t="inlineStr">
        <is>
          <t>EX-DEP</t>
        </is>
      </c>
      <c r="D535" s="5" t="inlineStr">
        <is>
          <t>Depositar dinero (funcionalidad extra)</t>
        </is>
      </c>
      <c r="E535" s="5" t="inlineStr">
        <is>
          <t>06 Depositar dinero</t>
        </is>
      </c>
      <c r="F535" s="5" t="inlineStr">
        <is>
          <t>PM-DE-04</t>
        </is>
      </c>
      <c r="G535" s="5" t="inlineStr">
        <is>
          <t>Rechazar texto como monto</t>
        </is>
      </c>
      <c r="H535" s="5" t="inlineStr">
        <is>
          <t>Integración (API)</t>
        </is>
      </c>
      <c r="I535" s="5" t="inlineStr">
        <is>
          <t>Funcional</t>
        </is>
      </c>
      <c r="J535" s="5" t="inlineStr">
        <is>
          <t>IA · Postman + Newman (Alejandro)</t>
        </is>
      </c>
      <c r="K535" s="5" t="inlineStr">
        <is>
          <t>herramientas-alejandro/02-postman-postbot</t>
        </is>
      </c>
      <c r="L535" s="5" t="inlineStr">
        <is>
          <t>Ver descripción del request</t>
        </is>
      </c>
      <c r="M535" s="5" t="inlineStr">
        <is>
          <t>4/4 aserciones</t>
        </is>
      </c>
      <c r="N535" s="7" t="inlineStr">
        <is>
          <t>Aprobado</t>
        </is>
      </c>
      <c r="O535" s="5" t="inlineStr">
        <is>
          <t>2026-10-27</t>
        </is>
      </c>
      <c r="P535" s="5" t="inlineStr">
        <is>
          <t>02-postman-postbot/evidence/newman-report.html</t>
        </is>
      </c>
      <c r="Q535" s="5" t="inlineStr">
        <is>
          <t>-</t>
        </is>
      </c>
    </row>
    <row r="536">
      <c r="A536" s="5" t="inlineStr">
        <is>
          <t>Stiven Alejandro Bustamante</t>
        </is>
      </c>
      <c r="B536" s="5" t="inlineStr">
        <is>
          <t>Cuentas</t>
        </is>
      </c>
      <c r="C536" s="5" t="inlineStr">
        <is>
          <t>EX-DEP</t>
        </is>
      </c>
      <c r="D536" s="5" t="inlineStr">
        <is>
          <t>Depositar dinero (funcionalidad extra)</t>
        </is>
      </c>
      <c r="E536" s="5" t="inlineStr">
        <is>
          <t>06 Depositar dinero</t>
        </is>
      </c>
      <c r="F536" s="5" t="inlineStr">
        <is>
          <t>PM-DE-05</t>
        </is>
      </c>
      <c r="G536" s="5" t="inlineStr">
        <is>
          <t>Rechazar booleano como monto</t>
        </is>
      </c>
      <c r="H536" s="5" t="inlineStr">
        <is>
          <t>Integración (API)</t>
        </is>
      </c>
      <c r="I536" s="5" t="inlineStr">
        <is>
          <t>Funcional</t>
        </is>
      </c>
      <c r="J536" s="5" t="inlineStr">
        <is>
          <t>IA · Postman + Newman (Alejandro)</t>
        </is>
      </c>
      <c r="K536" s="5" t="inlineStr">
        <is>
          <t>herramientas-alejandro/02-postman-postbot</t>
        </is>
      </c>
      <c r="L536" s="5" t="inlineStr">
        <is>
          <t>Ver descripción del request</t>
        </is>
      </c>
      <c r="M536" s="5" t="inlineStr">
        <is>
          <t>4/4 aserciones</t>
        </is>
      </c>
      <c r="N536" s="7" t="inlineStr">
        <is>
          <t>Aprobado</t>
        </is>
      </c>
      <c r="O536" s="5" t="inlineStr">
        <is>
          <t>2026-10-27</t>
        </is>
      </c>
      <c r="P536" s="5" t="inlineStr">
        <is>
          <t>02-postman-postbot/evidence/newman-report.html</t>
        </is>
      </c>
      <c r="Q536" s="5" t="inlineStr">
        <is>
          <t>-</t>
        </is>
      </c>
    </row>
    <row r="537">
      <c r="A537" s="5" t="inlineStr">
        <is>
          <t>Stiven Alejandro Bustamante</t>
        </is>
      </c>
      <c r="B537" s="5" t="inlineStr">
        <is>
          <t>Cuentas</t>
        </is>
      </c>
      <c r="C537" s="5" t="inlineStr">
        <is>
          <t>EX-DEP</t>
        </is>
      </c>
      <c r="D537" s="5" t="inlineStr">
        <is>
          <t>Depositar dinero (funcionalidad extra)</t>
        </is>
      </c>
      <c r="E537" s="5" t="inlineStr">
        <is>
          <t>06 Depositar dinero</t>
        </is>
      </c>
      <c r="F537" s="5" t="inlineStr">
        <is>
          <t>PM-DE-06</t>
        </is>
      </c>
      <c r="G537" s="5" t="inlineStr">
        <is>
          <t>Rechazar null como monto</t>
        </is>
      </c>
      <c r="H537" s="5" t="inlineStr">
        <is>
          <t>Integración (API)</t>
        </is>
      </c>
      <c r="I537" s="5" t="inlineStr">
        <is>
          <t>Funcional</t>
        </is>
      </c>
      <c r="J537" s="5" t="inlineStr">
        <is>
          <t>IA · Postman + Newman (Alejandro)</t>
        </is>
      </c>
      <c r="K537" s="5" t="inlineStr">
        <is>
          <t>herramientas-alejandro/02-postman-postbot</t>
        </is>
      </c>
      <c r="L537" s="5" t="inlineStr">
        <is>
          <t>Ver descripción del request</t>
        </is>
      </c>
      <c r="M537" s="5" t="inlineStr">
        <is>
          <t>5/5 aserciones</t>
        </is>
      </c>
      <c r="N537" s="7" t="inlineStr">
        <is>
          <t>Aprobado</t>
        </is>
      </c>
      <c r="O537" s="5" t="inlineStr">
        <is>
          <t>2026-10-27</t>
        </is>
      </c>
      <c r="P537" s="5" t="inlineStr">
        <is>
          <t>02-postman-postbot/evidence/newman-report.html</t>
        </is>
      </c>
      <c r="Q537" s="5" t="inlineStr">
        <is>
          <t>-</t>
        </is>
      </c>
    </row>
    <row r="538">
      <c r="A538" s="5" t="inlineStr">
        <is>
          <t>Stiven Alejandro Bustamante</t>
        </is>
      </c>
      <c r="B538" s="5" t="inlineStr">
        <is>
          <t>Cuentas</t>
        </is>
      </c>
      <c r="C538" s="5" t="inlineStr">
        <is>
          <t>EX-DEP</t>
        </is>
      </c>
      <c r="D538" s="5" t="inlineStr">
        <is>
          <t>Depositar dinero (funcionalidad extra)</t>
        </is>
      </c>
      <c r="E538" s="5" t="inlineStr">
        <is>
          <t>06 Depositar dinero</t>
        </is>
      </c>
      <c r="F538" s="5" t="inlineStr">
        <is>
          <t>PM-DE-07</t>
        </is>
      </c>
      <c r="G538" s="5" t="inlineStr">
        <is>
          <t>No depositar en la cuenta de otro cliente</t>
        </is>
      </c>
      <c r="H538" s="5" t="inlineStr">
        <is>
          <t>Integración (API)</t>
        </is>
      </c>
      <c r="I538" s="5" t="inlineStr">
        <is>
          <t>Funcional</t>
        </is>
      </c>
      <c r="J538" s="5" t="inlineStr">
        <is>
          <t>IA · Postman + Newman (Alejandro)</t>
        </is>
      </c>
      <c r="K538" s="5" t="inlineStr">
        <is>
          <t>herramientas-alejandro/02-postman-postbot</t>
        </is>
      </c>
      <c r="L538" s="5" t="inlineStr">
        <is>
          <t>Ver descripción del request</t>
        </is>
      </c>
      <c r="M538" s="5" t="inlineStr">
        <is>
          <t>5/5 aserciones</t>
        </is>
      </c>
      <c r="N538" s="7" t="inlineStr">
        <is>
          <t>Aprobado</t>
        </is>
      </c>
      <c r="O538" s="5" t="inlineStr">
        <is>
          <t>2026-10-27</t>
        </is>
      </c>
      <c r="P538" s="5" t="inlineStr">
        <is>
          <t>02-postman-postbot/evidence/newman-report.html</t>
        </is>
      </c>
      <c r="Q538" s="5" t="inlineStr">
        <is>
          <t>-</t>
        </is>
      </c>
    </row>
    <row r="539">
      <c r="A539" s="5" t="inlineStr">
        <is>
          <t>Stiven Alejandro Bustamante</t>
        </is>
      </c>
      <c r="B539" s="5" t="inlineStr">
        <is>
          <t>Cuentas</t>
        </is>
      </c>
      <c r="C539" s="5" t="inlineStr">
        <is>
          <t>EX-DEP</t>
        </is>
      </c>
      <c r="D539" s="5" t="inlineStr">
        <is>
          <t>Depositar dinero (funcionalidad extra)</t>
        </is>
      </c>
      <c r="E539" s="5" t="inlineStr">
        <is>
          <t>Katalon Recorder</t>
        </is>
      </c>
      <c r="F539" s="5" t="inlineStr">
        <is>
          <t>Suite_06_Depositar</t>
        </is>
      </c>
      <c r="G539" s="5" t="inlineStr">
        <is>
          <t>Suite_06_Depositar (casos TC-1xx)</t>
        </is>
      </c>
      <c r="H539" s="5" t="inlineStr">
        <is>
          <t>Sistema (E2E)</t>
        </is>
      </c>
      <c r="I539" s="5" t="inlineStr">
        <is>
          <t>Funcional</t>
        </is>
      </c>
      <c r="J539" s="5" t="inlineStr">
        <is>
          <t>Katalon Recorder</t>
        </is>
      </c>
      <c r="K539" s="5" t="inlineStr">
        <is>
          <t>katalon/suites/Suite_06_Depositar.html</t>
        </is>
      </c>
      <c r="L539" s="5" t="inlineStr">
        <is>
          <t>Todos los casos de la suite pasan</t>
        </is>
      </c>
      <c r="M539" s="5" t="inlineStr">
        <is>
          <t>Parte de la corrida 52/52 en KR7</t>
        </is>
      </c>
      <c r="N539" s="7" t="inlineStr">
        <is>
          <t>Aprobado</t>
        </is>
      </c>
      <c r="O539" s="5" t="inlineStr">
        <is>
          <t>2026-10-10</t>
        </is>
      </c>
      <c r="P539" s="5" t="inlineStr">
        <is>
          <t>katalon/evidencias/</t>
        </is>
      </c>
      <c r="Q539" s="5" t="inlineStr">
        <is>
          <t>-</t>
        </is>
      </c>
    </row>
    <row r="540">
      <c r="A540" s="5" t="inlineStr">
        <is>
          <t>Stiven Alejandro Bustamante</t>
        </is>
      </c>
      <c r="B540" s="5" t="inlineStr">
        <is>
          <t>Cuentas</t>
        </is>
      </c>
      <c r="C540" s="5" t="inlineStr">
        <is>
          <t>EX-DEP</t>
        </is>
      </c>
      <c r="D540" s="5" t="inlineStr">
        <is>
          <t>Depositar dinero (funcionalidad extra)</t>
        </is>
      </c>
      <c r="E540" s="5" t="inlineStr">
        <is>
          <t>abonar_y_ahorrar.feature</t>
        </is>
      </c>
      <c r="F540" s="5" t="inlineStr">
        <is>
          <t>SJ-ABON-01</t>
        </is>
      </c>
      <c r="G540" s="5" t="inlineStr">
        <is>
          <t>Abonar a la cuenta y apartar una parte en un bolsillo nuevo</t>
        </is>
      </c>
      <c r="H540" s="5" t="inlineStr">
        <is>
          <t>Sistema (E2E)</t>
        </is>
      </c>
      <c r="I540" s="5" t="inlineStr">
        <is>
          <t>Funcional</t>
        </is>
      </c>
      <c r="J540" s="5" t="inlineStr">
        <is>
          <t>Serenity/JS Screenplay + Gherkin</t>
        </is>
      </c>
      <c r="K540" s="5" t="inlineStr">
        <is>
          <t>features/recorrido/abonar_y_ahorrar.feature</t>
        </is>
      </c>
      <c r="L540" s="5" t="inlineStr">
        <is>
          <t>él está en la pantalla de cuentas; él ve el saldo de su cuenta en 200000; él crea el bolsillo "Emergencias" con 50000; él ve el bolsillo "Emergencias" con 50000; el saldo de su cuenta es 150000</t>
        </is>
      </c>
      <c r="M540" s="5" t="inlineStr">
        <is>
          <t>Todos los pasos pasaron</t>
        </is>
      </c>
      <c r="N540" s="7" t="inlineStr">
        <is>
          <t>Aprobado</t>
        </is>
      </c>
      <c r="O540" s="5" t="inlineStr">
        <is>
          <t>2026-10-27</t>
        </is>
      </c>
      <c r="P540" s="5" t="inlineStr">
        <is>
          <t>docs/evidencia-final-equipo/serenity-equipo-corrida.txt</t>
        </is>
      </c>
      <c r="Q540" s="5" t="inlineStr">
        <is>
          <t>-</t>
        </is>
      </c>
    </row>
    <row r="541">
      <c r="A541" s="5" t="inlineStr">
        <is>
          <t>Stiven Alejandro Bustamante</t>
        </is>
      </c>
      <c r="B541" s="5" t="inlineStr">
        <is>
          <t>Cuentas</t>
        </is>
      </c>
      <c r="C541" s="5" t="inlineStr">
        <is>
          <t>EX-DEP</t>
        </is>
      </c>
      <c r="D541" s="5" t="inlineStr">
        <is>
          <t>Depositar dinero (funcionalidad extra)</t>
        </is>
      </c>
      <c r="E541" s="5" t="inlineStr">
        <is>
          <t>depositar.feature</t>
        </is>
      </c>
      <c r="F541" s="5" t="inlineStr">
        <is>
          <t>SJ-DEPO-01</t>
        </is>
      </c>
      <c r="G541" s="5" t="inlineStr">
        <is>
          <t>Depositar un monto válido</t>
        </is>
      </c>
      <c r="H541" s="5" t="inlineStr">
        <is>
          <t>Integración (API)</t>
        </is>
      </c>
      <c r="I541" s="5" t="inlineStr">
        <is>
          <t>Funcional</t>
        </is>
      </c>
      <c r="J541" s="5" t="inlineStr">
        <is>
          <t>Serenity/JS Screenplay + Gherkin</t>
        </is>
      </c>
      <c r="K541" s="5" t="inlineStr">
        <is>
          <t>features/deposito/depositar.feature</t>
        </is>
      </c>
      <c r="L541" s="5" t="inlineStr">
        <is>
          <t>la respuesta HTTP tiene estado 200; el saldo de su cuenta es 250000</t>
        </is>
      </c>
      <c r="M541" s="5" t="inlineStr">
        <is>
          <t>Todos los pasos pasaron</t>
        </is>
      </c>
      <c r="N541" s="7" t="inlineStr">
        <is>
          <t>Aprobado</t>
        </is>
      </c>
      <c r="O541" s="5" t="inlineStr">
        <is>
          <t>2026-10-27</t>
        </is>
      </c>
      <c r="P541" s="5" t="inlineStr">
        <is>
          <t>docs/evidencia-final-equipo/serenity-equipo-corrida.txt</t>
        </is>
      </c>
      <c r="Q541" s="5" t="inlineStr">
        <is>
          <t>-</t>
        </is>
      </c>
    </row>
    <row r="542">
      <c r="A542" s="5" t="inlineStr">
        <is>
          <t>Stiven Alejandro Bustamante</t>
        </is>
      </c>
      <c r="B542" s="5" t="inlineStr">
        <is>
          <t>Cuentas</t>
        </is>
      </c>
      <c r="C542" s="5" t="inlineStr">
        <is>
          <t>EX-DEP</t>
        </is>
      </c>
      <c r="D542" s="5" t="inlineStr">
        <is>
          <t>Depositar dinero (funcionalidad extra)</t>
        </is>
      </c>
      <c r="E542" s="5" t="inlineStr">
        <is>
          <t>depositar.feature</t>
        </is>
      </c>
      <c r="F542" s="5" t="inlineStr">
        <is>
          <t>SJ-DEPO-02</t>
        </is>
      </c>
      <c r="G542" s="5" t="inlineStr">
        <is>
          <t>Los depósitos se acumulan en el saldo</t>
        </is>
      </c>
      <c r="H542" s="5" t="inlineStr">
        <is>
          <t>Integración (API)</t>
        </is>
      </c>
      <c r="I542" s="5" t="inlineStr">
        <is>
          <t>Funcional</t>
        </is>
      </c>
      <c r="J542" s="5" t="inlineStr">
        <is>
          <t>Serenity/JS Screenplay + Gherkin</t>
        </is>
      </c>
      <c r="K542" s="5" t="inlineStr">
        <is>
          <t>features/deposito/depositar.feature</t>
        </is>
      </c>
      <c r="L542" s="5" t="inlineStr">
        <is>
          <t>él deposita por API 50000 en su cuenta; el saldo de su cuenta es 150000</t>
        </is>
      </c>
      <c r="M542" s="5" t="inlineStr">
        <is>
          <t>Todos los pasos pasaron</t>
        </is>
      </c>
      <c r="N542" s="7" t="inlineStr">
        <is>
          <t>Aprobado</t>
        </is>
      </c>
      <c r="O542" s="5" t="inlineStr">
        <is>
          <t>2026-10-27</t>
        </is>
      </c>
      <c r="P542" s="5" t="inlineStr">
        <is>
          <t>docs/evidencia-final-equipo/serenity-equipo-corrida.txt</t>
        </is>
      </c>
      <c r="Q542" s="5" t="inlineStr">
        <is>
          <t>-</t>
        </is>
      </c>
    </row>
    <row r="543">
      <c r="A543" s="5" t="inlineStr">
        <is>
          <t>Stiven Alejandro Bustamante</t>
        </is>
      </c>
      <c r="B543" s="5" t="inlineStr">
        <is>
          <t>Cuentas</t>
        </is>
      </c>
      <c r="C543" s="5" t="inlineStr">
        <is>
          <t>EX-DEP</t>
        </is>
      </c>
      <c r="D543" s="5" t="inlineStr">
        <is>
          <t>Depositar dinero (funcionalidad extra)</t>
        </is>
      </c>
      <c r="E543" s="5" t="inlineStr">
        <is>
          <t>depositar.feature</t>
        </is>
      </c>
      <c r="F543" s="5" t="inlineStr">
        <is>
          <t>SJ-DEPO-03</t>
        </is>
      </c>
      <c r="G543" s="5" t="inlineStr">
        <is>
          <t>Rechazar un depósito de 0</t>
        </is>
      </c>
      <c r="H543" s="5" t="inlineStr">
        <is>
          <t>Integración (API)</t>
        </is>
      </c>
      <c r="I543" s="5" t="inlineStr">
        <is>
          <t>Funcional</t>
        </is>
      </c>
      <c r="J543" s="5" t="inlineStr">
        <is>
          <t>Serenity/JS Screenplay + Gherkin</t>
        </is>
      </c>
      <c r="K543" s="5" t="inlineStr">
        <is>
          <t>features/deposito/depositar.feature</t>
        </is>
      </c>
      <c r="L543" s="5" t="inlineStr">
        <is>
          <t>la respuesta HTTP tiene estado 400; el código de error es "INVALID_AMOUNT"; el saldo de su cuenta es 0</t>
        </is>
      </c>
      <c r="M543" s="5" t="inlineStr">
        <is>
          <t>Todos los pasos pasaron</t>
        </is>
      </c>
      <c r="N543" s="7" t="inlineStr">
        <is>
          <t>Aprobado</t>
        </is>
      </c>
      <c r="O543" s="5" t="inlineStr">
        <is>
          <t>2026-10-27</t>
        </is>
      </c>
      <c r="P543" s="5" t="inlineStr">
        <is>
          <t>docs/evidencia-final-equipo/serenity-equipo-corrida.txt</t>
        </is>
      </c>
      <c r="Q543" s="5" t="inlineStr">
        <is>
          <t>-</t>
        </is>
      </c>
    </row>
    <row r="544">
      <c r="A544" s="5" t="inlineStr">
        <is>
          <t>Stiven Alejandro Bustamante</t>
        </is>
      </c>
      <c r="B544" s="5" t="inlineStr">
        <is>
          <t>Cuentas</t>
        </is>
      </c>
      <c r="C544" s="5" t="inlineStr">
        <is>
          <t>EX-DEP</t>
        </is>
      </c>
      <c r="D544" s="5" t="inlineStr">
        <is>
          <t>Depositar dinero (funcionalidad extra)</t>
        </is>
      </c>
      <c r="E544" s="5" t="inlineStr">
        <is>
          <t>depositar.feature</t>
        </is>
      </c>
      <c r="F544" s="5" t="inlineStr">
        <is>
          <t>SJ-DEPO-04</t>
        </is>
      </c>
      <c r="G544" s="5" t="inlineStr">
        <is>
          <t>Rechazar un depósito de -50000</t>
        </is>
      </c>
      <c r="H544" s="5" t="inlineStr">
        <is>
          <t>Integración (API)</t>
        </is>
      </c>
      <c r="I544" s="5" t="inlineStr">
        <is>
          <t>Funcional</t>
        </is>
      </c>
      <c r="J544" s="5" t="inlineStr">
        <is>
          <t>Serenity/JS Screenplay + Gherkin</t>
        </is>
      </c>
      <c r="K544" s="5" t="inlineStr">
        <is>
          <t>features/deposito/depositar.feature</t>
        </is>
      </c>
      <c r="L544" s="5" t="inlineStr">
        <is>
          <t>la respuesta HTTP tiene estado 400; el código de error es "INVALID_AMOUNT"; el saldo de su cuenta es 0</t>
        </is>
      </c>
      <c r="M544" s="5" t="inlineStr">
        <is>
          <t>Todos los pasos pasaron</t>
        </is>
      </c>
      <c r="N544" s="7" t="inlineStr">
        <is>
          <t>Aprobado</t>
        </is>
      </c>
      <c r="O544" s="5" t="inlineStr">
        <is>
          <t>2026-10-27</t>
        </is>
      </c>
      <c r="P544" s="5" t="inlineStr">
        <is>
          <t>docs/evidencia-final-equipo/serenity-equipo-corrida.txt</t>
        </is>
      </c>
      <c r="Q544" s="5" t="inlineStr">
        <is>
          <t>-</t>
        </is>
      </c>
    </row>
    <row r="545">
      <c r="A545" s="5" t="inlineStr">
        <is>
          <t>Stiven Alejandro Bustamante</t>
        </is>
      </c>
      <c r="B545" s="5" t="inlineStr">
        <is>
          <t>Cuentas</t>
        </is>
      </c>
      <c r="C545" s="5" t="inlineStr">
        <is>
          <t>EX-DEP</t>
        </is>
      </c>
      <c r="D545" s="5" t="inlineStr">
        <is>
          <t>Depositar dinero (funcionalidad extra)</t>
        </is>
      </c>
      <c r="E545" s="5" t="inlineStr">
        <is>
          <t>depositar.feature</t>
        </is>
      </c>
      <c r="F545" s="5" t="inlineStr">
        <is>
          <t>SJ-DEPO-05</t>
        </is>
      </c>
      <c r="G545" s="5" t="inlineStr">
        <is>
          <t>Rechazar un monto que no es un número (true)</t>
        </is>
      </c>
      <c r="H545" s="5" t="inlineStr">
        <is>
          <t>Integración (API)</t>
        </is>
      </c>
      <c r="I545" s="5" t="inlineStr">
        <is>
          <t>Seguridad</t>
        </is>
      </c>
      <c r="J545" s="5" t="inlineStr">
        <is>
          <t>Serenity/JS Screenplay + Gherkin</t>
        </is>
      </c>
      <c r="K545" s="5" t="inlineStr">
        <is>
          <t>features/deposito/depositar.feature</t>
        </is>
      </c>
      <c r="L545" s="5" t="inlineStr">
        <is>
          <t>la respuesta HTTP tiene estado 400; el código de error es "INVALID_AMOUNT"; el saldo de su cuenta es 0</t>
        </is>
      </c>
      <c r="M545" s="5" t="inlineStr">
        <is>
          <t>Todos los pasos pasaron</t>
        </is>
      </c>
      <c r="N545" s="7" t="inlineStr">
        <is>
          <t>Aprobado</t>
        </is>
      </c>
      <c r="O545" s="5" t="inlineStr">
        <is>
          <t>2026-10-27</t>
        </is>
      </c>
      <c r="P545" s="5" t="inlineStr">
        <is>
          <t>docs/evidencia-final-equipo/serenity-equipo-corrida.txt</t>
        </is>
      </c>
      <c r="Q545" s="5" t="inlineStr">
        <is>
          <t>-</t>
        </is>
      </c>
    </row>
    <row r="546">
      <c r="A546" s="5" t="inlineStr">
        <is>
          <t>Stiven Alejandro Bustamante</t>
        </is>
      </c>
      <c r="B546" s="5" t="inlineStr">
        <is>
          <t>Cuentas</t>
        </is>
      </c>
      <c r="C546" s="5" t="inlineStr">
        <is>
          <t>EX-DEP</t>
        </is>
      </c>
      <c r="D546" s="5" t="inlineStr">
        <is>
          <t>Depositar dinero (funcionalidad extra)</t>
        </is>
      </c>
      <c r="E546" s="5" t="inlineStr">
        <is>
          <t>depositar.feature</t>
        </is>
      </c>
      <c r="F546" s="5" t="inlineStr">
        <is>
          <t>SJ-DEPO-06</t>
        </is>
      </c>
      <c r="G546" s="5" t="inlineStr">
        <is>
          <t>Rechazar un monto que no es un número ("abc")</t>
        </is>
      </c>
      <c r="H546" s="5" t="inlineStr">
        <is>
          <t>Integración (API)</t>
        </is>
      </c>
      <c r="I546" s="5" t="inlineStr">
        <is>
          <t>Seguridad</t>
        </is>
      </c>
      <c r="J546" s="5" t="inlineStr">
        <is>
          <t>Serenity/JS Screenplay + Gherkin</t>
        </is>
      </c>
      <c r="K546" s="5" t="inlineStr">
        <is>
          <t>features/deposito/depositar.feature</t>
        </is>
      </c>
      <c r="L546" s="5" t="inlineStr">
        <is>
          <t>la respuesta HTTP tiene estado 400; el código de error es "INVALID_AMOUNT"; el saldo de su cuenta es 0</t>
        </is>
      </c>
      <c r="M546" s="5" t="inlineStr">
        <is>
          <t>Todos los pasos pasaron</t>
        </is>
      </c>
      <c r="N546" s="7" t="inlineStr">
        <is>
          <t>Aprobado</t>
        </is>
      </c>
      <c r="O546" s="5" t="inlineStr">
        <is>
          <t>2026-10-27</t>
        </is>
      </c>
      <c r="P546" s="5" t="inlineStr">
        <is>
          <t>docs/evidencia-final-equipo/serenity-equipo-corrida.txt</t>
        </is>
      </c>
      <c r="Q546" s="5" t="inlineStr">
        <is>
          <t>-</t>
        </is>
      </c>
    </row>
    <row r="547">
      <c r="A547" s="5" t="inlineStr">
        <is>
          <t>Stiven Alejandro Bustamante</t>
        </is>
      </c>
      <c r="B547" s="5" t="inlineStr">
        <is>
          <t>Cuentas</t>
        </is>
      </c>
      <c r="C547" s="5" t="inlineStr">
        <is>
          <t>EX-DEP</t>
        </is>
      </c>
      <c r="D547" s="5" t="inlineStr">
        <is>
          <t>Depositar dinero (funcionalidad extra)</t>
        </is>
      </c>
      <c r="E547" s="5" t="inlineStr">
        <is>
          <t>depositar.feature</t>
        </is>
      </c>
      <c r="F547" s="5" t="inlineStr">
        <is>
          <t>SJ-DEPO-07</t>
        </is>
      </c>
      <c r="G547" s="5" t="inlineStr">
        <is>
          <t>Rechazar un monto que no es un número (null)</t>
        </is>
      </c>
      <c r="H547" s="5" t="inlineStr">
        <is>
          <t>Integración (API)</t>
        </is>
      </c>
      <c r="I547" s="5" t="inlineStr">
        <is>
          <t>Seguridad</t>
        </is>
      </c>
      <c r="J547" s="5" t="inlineStr">
        <is>
          <t>Serenity/JS Screenplay + Gherkin</t>
        </is>
      </c>
      <c r="K547" s="5" t="inlineStr">
        <is>
          <t>features/deposito/depositar.feature</t>
        </is>
      </c>
      <c r="L547" s="5" t="inlineStr">
        <is>
          <t>la respuesta HTTP tiene estado 400; el código de error es "INVALID_AMOUNT"; el saldo de su cuenta es 0</t>
        </is>
      </c>
      <c r="M547" s="5" t="inlineStr">
        <is>
          <t>Todos los pasos pasaron</t>
        </is>
      </c>
      <c r="N547" s="7" t="inlineStr">
        <is>
          <t>Aprobado</t>
        </is>
      </c>
      <c r="O547" s="5" t="inlineStr">
        <is>
          <t>2026-10-27</t>
        </is>
      </c>
      <c r="P547" s="5" t="inlineStr">
        <is>
          <t>docs/evidencia-final-equipo/serenity-equipo-corrida.txt</t>
        </is>
      </c>
      <c r="Q547" s="5" t="inlineStr">
        <is>
          <t>-</t>
        </is>
      </c>
    </row>
    <row r="548">
      <c r="A548" s="5" t="inlineStr">
        <is>
          <t>Stiven Alejandro Bustamante</t>
        </is>
      </c>
      <c r="B548" s="5" t="inlineStr">
        <is>
          <t>Cuentas</t>
        </is>
      </c>
      <c r="C548" s="5" t="inlineStr">
        <is>
          <t>EX-DEP</t>
        </is>
      </c>
      <c r="D548" s="5" t="inlineStr">
        <is>
          <t>Depositar dinero (funcionalidad extra)</t>
        </is>
      </c>
      <c r="E548" s="5" t="inlineStr">
        <is>
          <t>depositar.feature</t>
        </is>
      </c>
      <c r="F548" s="5" t="inlineStr">
        <is>
          <t>SJ-DEPO-08</t>
        </is>
      </c>
      <c r="G548" s="5" t="inlineStr">
        <is>
          <t>Rechazar un monto que no es un número ([1000])</t>
        </is>
      </c>
      <c r="H548" s="5" t="inlineStr">
        <is>
          <t>Integración (API)</t>
        </is>
      </c>
      <c r="I548" s="5" t="inlineStr">
        <is>
          <t>Seguridad</t>
        </is>
      </c>
      <c r="J548" s="5" t="inlineStr">
        <is>
          <t>Serenity/JS Screenplay + Gherkin</t>
        </is>
      </c>
      <c r="K548" s="5" t="inlineStr">
        <is>
          <t>features/deposito/depositar.feature</t>
        </is>
      </c>
      <c r="L548" s="5" t="inlineStr">
        <is>
          <t>la respuesta HTTP tiene estado 400; el código de error es "INVALID_AMOUNT"; el saldo de su cuenta es 0</t>
        </is>
      </c>
      <c r="M548" s="5" t="inlineStr">
        <is>
          <t>Todos los pasos pasaron</t>
        </is>
      </c>
      <c r="N548" s="7" t="inlineStr">
        <is>
          <t>Aprobado</t>
        </is>
      </c>
      <c r="O548" s="5" t="inlineStr">
        <is>
          <t>2026-10-27</t>
        </is>
      </c>
      <c r="P548" s="5" t="inlineStr">
        <is>
          <t>docs/evidencia-final-equipo/serenity-equipo-corrida.txt</t>
        </is>
      </c>
      <c r="Q548" s="5" t="inlineStr">
        <is>
          <t>-</t>
        </is>
      </c>
    </row>
    <row r="549">
      <c r="A549" s="5" t="inlineStr">
        <is>
          <t>Stiven Alejandro Bustamante</t>
        </is>
      </c>
      <c r="B549" s="5" t="inlineStr">
        <is>
          <t>Cuentas</t>
        </is>
      </c>
      <c r="C549" s="5" t="inlineStr">
        <is>
          <t>EX-DEP</t>
        </is>
      </c>
      <c r="D549" s="5" t="inlineStr">
        <is>
          <t>Depositar dinero (funcionalidad extra)</t>
        </is>
      </c>
      <c r="E549" s="5" t="inlineStr">
        <is>
          <t>depositar.feature</t>
        </is>
      </c>
      <c r="F549" s="5" t="inlineStr">
        <is>
          <t>SJ-DEPO-09</t>
        </is>
      </c>
      <c r="G549" s="5" t="inlineStr">
        <is>
          <t>No se puede depositar en la cuenta de otro cliente</t>
        </is>
      </c>
      <c r="H549" s="5" t="inlineStr">
        <is>
          <t>Integración (API)</t>
        </is>
      </c>
      <c r="I549" s="5" t="inlineStr">
        <is>
          <t>Seguridad</t>
        </is>
      </c>
      <c r="J549" s="5" t="inlineStr">
        <is>
          <t>Serenity/JS Screenplay + Gherkin</t>
        </is>
      </c>
      <c r="K549" s="5" t="inlineStr">
        <is>
          <t>features/deposito/depositar.feature</t>
        </is>
      </c>
      <c r="L549" s="5" t="inlineStr">
        <is>
          <t>la respuesta HTTP tiene estado 403; el código de error es "FORBIDDEN"; el saldo de la cuenta de Diana es 100000</t>
        </is>
      </c>
      <c r="M549" s="5" t="inlineStr">
        <is>
          <t>Todos los pasos pasaron</t>
        </is>
      </c>
      <c r="N549" s="7" t="inlineStr">
        <is>
          <t>Aprobado</t>
        </is>
      </c>
      <c r="O549" s="5" t="inlineStr">
        <is>
          <t>2026-10-27</t>
        </is>
      </c>
      <c r="P549" s="5" t="inlineStr">
        <is>
          <t>docs/evidencia-final-equipo/serenity-equipo-corrida.txt</t>
        </is>
      </c>
      <c r="Q549" s="5" t="inlineStr">
        <is>
          <t>-</t>
        </is>
      </c>
    </row>
    <row r="550">
      <c r="A550" s="5" t="inlineStr">
        <is>
          <t>Stiven Alejandro Bustamante</t>
        </is>
      </c>
      <c r="B550" s="5" t="inlineStr">
        <is>
          <t>Cuentas</t>
        </is>
      </c>
      <c r="C550" s="5" t="inlineStr">
        <is>
          <t>EX-DEP</t>
        </is>
      </c>
      <c r="D550" s="5" t="inlineStr">
        <is>
          <t>Depositar dinero (funcionalidad extra)</t>
        </is>
      </c>
      <c r="E550" s="5" t="inlineStr">
        <is>
          <t>depositar.feature</t>
        </is>
      </c>
      <c r="F550" s="5" t="inlineStr">
        <is>
          <t>SJ-DEPO-10</t>
        </is>
      </c>
      <c r="G550" s="5" t="inlineStr">
        <is>
          <t>Abonar saldo desde la pantalla de cuentas</t>
        </is>
      </c>
      <c r="H550" s="5" t="inlineStr">
        <is>
          <t>Sistema (E2E)</t>
        </is>
      </c>
      <c r="I550" s="5" t="inlineStr">
        <is>
          <t>Funcional</t>
        </is>
      </c>
      <c r="J550" s="5" t="inlineStr">
        <is>
          <t>Serenity/JS Screenplay + Gherkin</t>
        </is>
      </c>
      <c r="K550" s="5" t="inlineStr">
        <is>
          <t>features/deposito/depositar.feature</t>
        </is>
      </c>
      <c r="L550" s="5" t="inlineStr">
        <is>
          <t>él ve la notificación "Deposito realizado"; él ve el saldo de su cuenta en 150000; el saldo de su cuenta es 150000</t>
        </is>
      </c>
      <c r="M550" s="5" t="inlineStr">
        <is>
          <t>Todos los pasos pasaron</t>
        </is>
      </c>
      <c r="N550" s="7" t="inlineStr">
        <is>
          <t>Aprobado</t>
        </is>
      </c>
      <c r="O550" s="5" t="inlineStr">
        <is>
          <t>2026-10-27</t>
        </is>
      </c>
      <c r="P550" s="5" t="inlineStr">
        <is>
          <t>docs/evidencia-final-equipo/serenity-equipo-corrida.txt</t>
        </is>
      </c>
      <c r="Q550" s="5" t="inlineStr">
        <is>
          <t>-</t>
        </is>
      </c>
    </row>
    <row r="551">
      <c r="A551" s="5" t="inlineStr">
        <is>
          <t>Stiven Alejandro Bustamante</t>
        </is>
      </c>
      <c r="B551" s="5" t="inlineStr">
        <is>
          <t>Cuentas</t>
        </is>
      </c>
      <c r="C551" s="5" t="inlineStr">
        <is>
          <t>EX-DEP</t>
        </is>
      </c>
      <c r="D551" s="5" t="inlineStr">
        <is>
          <t>Depositar dinero (funcionalidad extra)</t>
        </is>
      </c>
      <c r="E551" s="5" t="inlineStr">
        <is>
          <t>depositar.feature</t>
        </is>
      </c>
      <c r="F551" s="5" t="inlineStr">
        <is>
          <t>SJ-DEPO-11</t>
        </is>
      </c>
      <c r="G551" s="5" t="inlineStr">
        <is>
          <t>El formulario de abono rechaza un monto en cero</t>
        </is>
      </c>
      <c r="H551" s="5" t="inlineStr">
        <is>
          <t>Sistema (E2E)</t>
        </is>
      </c>
      <c r="I551" s="5" t="inlineStr">
        <is>
          <t>Funcional</t>
        </is>
      </c>
      <c r="J551" s="5" t="inlineStr">
        <is>
          <t>Serenity/JS Screenplay + Gherkin</t>
        </is>
      </c>
      <c r="K551" s="5" t="inlineStr">
        <is>
          <t>features/deposito/depositar.feature</t>
        </is>
      </c>
      <c r="L551" s="5" t="inlineStr">
        <is>
          <t>él ve el error del formulario "Por favor ingresa un monto válido mayor a cero."; el saldo de su cuenta es 0</t>
        </is>
      </c>
      <c r="M551" s="5" t="inlineStr">
        <is>
          <t>Todos los pasos pasaron</t>
        </is>
      </c>
      <c r="N551" s="7" t="inlineStr">
        <is>
          <t>Aprobado</t>
        </is>
      </c>
      <c r="O551" s="5" t="inlineStr">
        <is>
          <t>2026-10-27</t>
        </is>
      </c>
      <c r="P551" s="5" t="inlineStr">
        <is>
          <t>docs/evidencia-final-equipo/serenity-equipo-corrida.txt</t>
        </is>
      </c>
      <c r="Q551" s="5" t="inlineStr">
        <is>
          <t>-</t>
        </is>
      </c>
    </row>
    <row r="552">
      <c r="A552" s="5" t="inlineStr">
        <is>
          <t>Stiven Alejandro Bustamante</t>
        </is>
      </c>
      <c r="B552" s="5" t="inlineStr">
        <is>
          <t>Cuentas</t>
        </is>
      </c>
      <c r="C552" s="5" t="inlineStr">
        <is>
          <t>EX-DEP</t>
        </is>
      </c>
      <c r="D552" s="5" t="inlineStr">
        <is>
          <t>Depositar dinero (funcionalidad extra)</t>
        </is>
      </c>
      <c r="E552" s="5" t="inlineStr">
        <is>
          <t>Stagehand</t>
        </is>
      </c>
      <c r="F552" s="5" t="inlineStr">
        <is>
          <t>SH-D06</t>
        </is>
      </c>
      <c r="G552" s="5" t="inlineStr">
        <is>
          <t>La IA abona saldo a la cuenta; antes comprueba que el formulario rechaza un monto en cero.</t>
        </is>
      </c>
      <c r="H552" s="5" t="inlineStr">
        <is>
          <t>Sistema (E2E con IA)</t>
        </is>
      </c>
      <c r="I552" s="5" t="inlineStr">
        <is>
          <t>Funcional</t>
        </is>
      </c>
      <c r="J552" s="5" t="inlineStr">
        <is>
          <t>Stagehand (google/gemini-3.5-flash-lite)</t>
        </is>
      </c>
      <c r="K552" s="5" t="inlineStr">
        <is>
          <t>e2e/stagehand/src/bolsillos/scenarios.ts</t>
        </is>
      </c>
      <c r="L552" s="5" t="inlineStr">
        <is>
          <t>Con 0: error "Por favor ingresa un monto válido mayor a cero." y saldo 0. Con 150.000: toast "Deposito realizado" y saldo 150.000.</t>
        </is>
      </c>
      <c r="M552" s="5" t="inlineStr">
        <is>
          <t>6/6 validaciones correctas</t>
        </is>
      </c>
      <c r="N552" s="7" t="inlineStr">
        <is>
          <t>Aprobado</t>
        </is>
      </c>
      <c r="O552" s="5" t="inlineStr">
        <is>
          <t>2026-10-27</t>
        </is>
      </c>
      <c r="P552" s="5" t="inlineStr">
        <is>
          <t>e2e/stagehand/evidence/bolsillos/SH-D06-report.json</t>
        </is>
      </c>
      <c r="Q552" s="5" t="inlineStr">
        <is>
          <t>-</t>
        </is>
      </c>
    </row>
    <row r="553">
      <c r="A553" s="5" t="inlineStr">
        <is>
          <t>Stiven Alejandro Bustamante</t>
        </is>
      </c>
      <c r="B553" s="5" t="inlineStr">
        <is>
          <t>Cuentas</t>
        </is>
      </c>
      <c r="C553" s="5" t="inlineStr">
        <is>
          <t>EX-DEP</t>
        </is>
      </c>
      <c r="D553" s="5" t="inlineStr">
        <is>
          <t>Depositar dinero (funcionalidad extra)</t>
        </is>
      </c>
      <c r="E553" s="5" t="inlineStr">
        <is>
          <t>Vitest backend · unitaria</t>
        </is>
      </c>
      <c r="F553" s="5" t="inlineStr">
        <is>
          <t>VT-DepositMoney.paths.test</t>
        </is>
      </c>
      <c r="G553" s="5" t="inlineStr">
        <is>
          <t>DepositMoney.paths.test.ts (8 pruebas)</t>
        </is>
      </c>
      <c r="H553" s="5" t="inlineStr">
        <is>
          <t>Unitaria / Integración</t>
        </is>
      </c>
      <c r="I553" s="5" t="inlineStr">
        <is>
          <t>Funcional</t>
        </is>
      </c>
      <c r="J553" s="5" t="inlineStr">
        <is>
          <t>Vitest backend</t>
        </is>
      </c>
      <c r="K553" s="5" t="inlineStr">
        <is>
          <t>backend/src/tests/unit/account/DepositMoney.paths.test.ts</t>
        </is>
      </c>
      <c r="L553" s="5" t="inlineStr">
        <is>
          <t>Todas las pruebas del archivo pasan</t>
        </is>
      </c>
      <c r="M553" s="5" t="inlineStr">
        <is>
          <t>8/8 pasan</t>
        </is>
      </c>
      <c r="N553" s="7" t="inlineStr">
        <is>
          <t>Aprobado</t>
        </is>
      </c>
      <c r="O553" s="5" t="inlineStr">
        <is>
          <t>2026-10-27</t>
        </is>
      </c>
      <c r="P553" s="5" t="inlineStr">
        <is>
          <t>docs/evidencia-final-equipo/vitest-backend.json</t>
        </is>
      </c>
      <c r="Q553" s="5" t="inlineStr">
        <is>
          <t>-</t>
        </is>
      </c>
    </row>
    <row r="554">
      <c r="A554" s="5" t="inlineStr">
        <is>
          <t>Stiven Alejandro Bustamante</t>
        </is>
      </c>
      <c r="B554" s="5" t="inlineStr">
        <is>
          <t>Cuentas</t>
        </is>
      </c>
      <c r="C554" s="5" t="inlineStr">
        <is>
          <t>EX-DEP</t>
        </is>
      </c>
      <c r="D554" s="5" t="inlineStr">
        <is>
          <t>Depositar dinero (funcionalidad extra)</t>
        </is>
      </c>
      <c r="E554" s="5" t="inlineStr">
        <is>
          <t>Vitest backend · unitaria</t>
        </is>
      </c>
      <c r="F554" s="5" t="inlineStr">
        <is>
          <t>VT-DepositMoney.test</t>
        </is>
      </c>
      <c r="G554" s="5" t="inlineStr">
        <is>
          <t>DepositMoney.test.ts (12 pruebas)</t>
        </is>
      </c>
      <c r="H554" s="5" t="inlineStr">
        <is>
          <t>Unitaria / Integración</t>
        </is>
      </c>
      <c r="I554" s="5" t="inlineStr">
        <is>
          <t>Funcional</t>
        </is>
      </c>
      <c r="J554" s="5" t="inlineStr">
        <is>
          <t>Vitest backend</t>
        </is>
      </c>
      <c r="K554" s="5" t="inlineStr">
        <is>
          <t>backend/src/tests/unit/account/DepositMoney.test.ts</t>
        </is>
      </c>
      <c r="L554" s="5" t="inlineStr">
        <is>
          <t>Todas las pruebas del archivo pasan</t>
        </is>
      </c>
      <c r="M554" s="5" t="inlineStr">
        <is>
          <t>12/12 pasan</t>
        </is>
      </c>
      <c r="N554" s="7" t="inlineStr">
        <is>
          <t>Aprobado</t>
        </is>
      </c>
      <c r="O554" s="5" t="inlineStr">
        <is>
          <t>2026-10-27</t>
        </is>
      </c>
      <c r="P554" s="5" t="inlineStr">
        <is>
          <t>docs/evidencia-final-equipo/vitest-backend.json</t>
        </is>
      </c>
      <c r="Q554" s="5" t="inlineStr">
        <is>
          <t>-</t>
        </is>
      </c>
    </row>
    <row r="555">
      <c r="A555" s="5" t="inlineStr">
        <is>
          <t>Stiven Alejandro Bustamante</t>
        </is>
      </c>
      <c r="B555" s="5" t="inlineStr">
        <is>
          <t>Cuentas</t>
        </is>
      </c>
      <c r="C555" s="5" t="inlineStr">
        <is>
          <t>EX-DEP</t>
        </is>
      </c>
      <c r="D555" s="5" t="inlineStr">
        <is>
          <t>Depositar dinero (funcionalidad extra)</t>
        </is>
      </c>
      <c r="E555" s="5" t="inlineStr">
        <is>
          <t>Vitest backend · regresión</t>
        </is>
      </c>
      <c r="F555" s="5" t="inlineStr">
        <is>
          <t>VT-depositar.regression.test</t>
        </is>
      </c>
      <c r="G555" s="5" t="inlineStr">
        <is>
          <t>depositar.regression.test.ts (16 pruebas)</t>
        </is>
      </c>
      <c r="H555" s="5" t="inlineStr">
        <is>
          <t>Unitaria / Integración</t>
        </is>
      </c>
      <c r="I555" s="5" t="inlineStr">
        <is>
          <t>Funcional</t>
        </is>
      </c>
      <c r="J555" s="5" t="inlineStr">
        <is>
          <t>Vitest backend</t>
        </is>
      </c>
      <c r="K555" s="5" t="inlineStr">
        <is>
          <t>backend/src/tests/regression/account/depositar.regression.test.ts</t>
        </is>
      </c>
      <c r="L555" s="5" t="inlineStr">
        <is>
          <t>Todas las pruebas del archivo pasan</t>
        </is>
      </c>
      <c r="M555" s="5" t="inlineStr">
        <is>
          <t>16/16 pasan</t>
        </is>
      </c>
      <c r="N555" s="7" t="inlineStr">
        <is>
          <t>Aprobado</t>
        </is>
      </c>
      <c r="O555" s="5" t="inlineStr">
        <is>
          <t>2026-10-27</t>
        </is>
      </c>
      <c r="P555" s="5" t="inlineStr">
        <is>
          <t>docs/evidencia-final-equipo/vitest-backend.json</t>
        </is>
      </c>
      <c r="Q555" s="5" t="inlineStr">
        <is>
          <t>-</t>
        </is>
      </c>
    </row>
    <row r="556">
      <c r="A556" s="5" t="inlineStr">
        <is>
          <t>Stiven Alejandro Bustamante</t>
        </is>
      </c>
      <c r="B556" s="5" t="inlineStr">
        <is>
          <t>Cuentas</t>
        </is>
      </c>
      <c r="C556" s="5" t="inlineStr">
        <is>
          <t>EX-DEP</t>
        </is>
      </c>
      <c r="D556" s="5" t="inlineStr">
        <is>
          <t>Depositar dinero (funcionalidad extra)</t>
        </is>
      </c>
      <c r="E556" s="5" t="inlineStr">
        <is>
          <t>Vitest frontend · unitaria</t>
        </is>
      </c>
      <c r="F556" s="5" t="inlineStr">
        <is>
          <t>VT-DepositWithdrawModal.paths.test</t>
        </is>
      </c>
      <c r="G556" s="5" t="inlineStr">
        <is>
          <t>DepositWithdrawModal.paths.test.tsx (9 pruebas)</t>
        </is>
      </c>
      <c r="H556" s="5" t="inlineStr">
        <is>
          <t>Unitaria / Integración</t>
        </is>
      </c>
      <c r="I556" s="5" t="inlineStr">
        <is>
          <t>Funcional</t>
        </is>
      </c>
      <c r="J556" s="5" t="inlineStr">
        <is>
          <t>Vitest frontend</t>
        </is>
      </c>
      <c r="K556" s="5" t="inlineStr">
        <is>
          <t>frontend/src/tests/unit/account/DepositWithdrawModal.paths.test.tsx</t>
        </is>
      </c>
      <c r="L556" s="5" t="inlineStr">
        <is>
          <t>Todas las pruebas del archivo pasan</t>
        </is>
      </c>
      <c r="M556" s="5" t="inlineStr">
        <is>
          <t>9/9 pasan</t>
        </is>
      </c>
      <c r="N556" s="7" t="inlineStr">
        <is>
          <t>Aprobado</t>
        </is>
      </c>
      <c r="O556" s="5" t="inlineStr">
        <is>
          <t>2026-10-27</t>
        </is>
      </c>
      <c r="P556" s="5" t="inlineStr">
        <is>
          <t>docs/evidencia-final-equipo/vitest-frontend.json</t>
        </is>
      </c>
      <c r="Q556" s="5" t="inlineStr">
        <is>
          <t>-</t>
        </is>
      </c>
    </row>
    <row r="557">
      <c r="A557" s="5" t="inlineStr">
        <is>
          <t>Dubin Andres Soto</t>
        </is>
      </c>
      <c r="B557" s="5" t="inlineStr">
        <is>
          <t>Tarjetas</t>
        </is>
      </c>
      <c r="C557" s="5" t="inlineStr">
        <is>
          <t>TARJ</t>
        </is>
      </c>
      <c r="D557" s="5" t="inlineStr">
        <is>
          <t>Tarjetas virtuales</t>
        </is>
      </c>
      <c r="E557" s="5" t="inlineStr">
        <is>
          <t>Vitest backend · unitaria</t>
        </is>
      </c>
      <c r="F557" s="5" t="inlineStr">
        <is>
          <t>VT-CardController.test</t>
        </is>
      </c>
      <c r="G557" s="5" t="inlineStr">
        <is>
          <t>CardController.test.ts (8 pruebas)</t>
        </is>
      </c>
      <c r="H557" s="5" t="inlineStr">
        <is>
          <t>Unitaria / Integración</t>
        </is>
      </c>
      <c r="I557" s="5" t="inlineStr">
        <is>
          <t>Funcional</t>
        </is>
      </c>
      <c r="J557" s="5" t="inlineStr">
        <is>
          <t>Vitest backend</t>
        </is>
      </c>
      <c r="K557" s="5" t="inlineStr">
        <is>
          <t>backend/src/tests/unit/card/CardController.test.ts</t>
        </is>
      </c>
      <c r="L557" s="5" t="inlineStr">
        <is>
          <t>Todas las pruebas del archivo pasan</t>
        </is>
      </c>
      <c r="M557" s="5" t="inlineStr">
        <is>
          <t>8/8 pasan</t>
        </is>
      </c>
      <c r="N557" s="7" t="inlineStr">
        <is>
          <t>Aprobado</t>
        </is>
      </c>
      <c r="O557" s="5" t="inlineStr">
        <is>
          <t>2026-10-27</t>
        </is>
      </c>
      <c r="P557" s="5" t="inlineStr">
        <is>
          <t>docs/evidencia-final-equipo/vitest-backend.json</t>
        </is>
      </c>
      <c r="Q557" s="5" t="inlineStr">
        <is>
          <t>-</t>
        </is>
      </c>
    </row>
    <row r="558">
      <c r="A558" s="5" t="inlineStr">
        <is>
          <t>Dubin Andres Soto</t>
        </is>
      </c>
      <c r="B558" s="5" t="inlineStr">
        <is>
          <t>Tarjetas</t>
        </is>
      </c>
      <c r="C558" s="5" t="inlineStr">
        <is>
          <t>TARJ</t>
        </is>
      </c>
      <c r="D558" s="5" t="inlineStr">
        <is>
          <t>Tarjetas virtuales</t>
        </is>
      </c>
      <c r="E558" s="5" t="inlineStr">
        <is>
          <t>Vitest backend · unitaria</t>
        </is>
      </c>
      <c r="F558" s="5" t="inlineStr">
        <is>
          <t>VT-CreateVirtualCard.test</t>
        </is>
      </c>
      <c r="G558" s="5" t="inlineStr">
        <is>
          <t>CreateVirtualCard.test.ts (9 pruebas)</t>
        </is>
      </c>
      <c r="H558" s="5" t="inlineStr">
        <is>
          <t>Unitaria / Integración</t>
        </is>
      </c>
      <c r="I558" s="5" t="inlineStr">
        <is>
          <t>Funcional</t>
        </is>
      </c>
      <c r="J558" s="5" t="inlineStr">
        <is>
          <t>Vitest backend</t>
        </is>
      </c>
      <c r="K558" s="5" t="inlineStr">
        <is>
          <t>backend/src/tests/unit/card/CreateVirtualCard.test.ts</t>
        </is>
      </c>
      <c r="L558" s="5" t="inlineStr">
        <is>
          <t>Todas las pruebas del archivo pasan</t>
        </is>
      </c>
      <c r="M558" s="5" t="inlineStr">
        <is>
          <t>9/9 pasan</t>
        </is>
      </c>
      <c r="N558" s="7" t="inlineStr">
        <is>
          <t>Aprobado</t>
        </is>
      </c>
      <c r="O558" s="5" t="inlineStr">
        <is>
          <t>2026-10-27</t>
        </is>
      </c>
      <c r="P558" s="5" t="inlineStr">
        <is>
          <t>docs/evidencia-final-equipo/vitest-backend.json</t>
        </is>
      </c>
      <c r="Q558" s="5" t="inlineStr">
        <is>
          <t>-</t>
        </is>
      </c>
    </row>
    <row r="559">
      <c r="A559" s="5" t="inlineStr">
        <is>
          <t>Dubin Andres Soto</t>
        </is>
      </c>
      <c r="B559" s="5" t="inlineStr">
        <is>
          <t>Tarjetas</t>
        </is>
      </c>
      <c r="C559" s="5" t="inlineStr">
        <is>
          <t>TARJ</t>
        </is>
      </c>
      <c r="D559" s="5" t="inlineStr">
        <is>
          <t>Tarjetas virtuales</t>
        </is>
      </c>
      <c r="E559" s="5" t="inlineStr">
        <is>
          <t>Vitest backend · unitaria</t>
        </is>
      </c>
      <c r="F559" s="5" t="inlineStr">
        <is>
          <t>VT-DeleteVirtualCard.test</t>
        </is>
      </c>
      <c r="G559" s="5" t="inlineStr">
        <is>
          <t>DeleteVirtualCard.test.ts (3 pruebas)</t>
        </is>
      </c>
      <c r="H559" s="5" t="inlineStr">
        <is>
          <t>Unitaria / Integración</t>
        </is>
      </c>
      <c r="I559" s="5" t="inlineStr">
        <is>
          <t>Funcional</t>
        </is>
      </c>
      <c r="J559" s="5" t="inlineStr">
        <is>
          <t>Vitest backend</t>
        </is>
      </c>
      <c r="K559" s="5" t="inlineStr">
        <is>
          <t>backend/src/tests/unit/card/DeleteVirtualCard.test.ts</t>
        </is>
      </c>
      <c r="L559" s="5" t="inlineStr">
        <is>
          <t>Todas las pruebas del archivo pasan</t>
        </is>
      </c>
      <c r="M559" s="5" t="inlineStr">
        <is>
          <t>3/3 pasan</t>
        </is>
      </c>
      <c r="N559" s="7" t="inlineStr">
        <is>
          <t>Aprobado</t>
        </is>
      </c>
      <c r="O559" s="5" t="inlineStr">
        <is>
          <t>2026-10-27</t>
        </is>
      </c>
      <c r="P559" s="5" t="inlineStr">
        <is>
          <t>docs/evidencia-final-equipo/vitest-backend.json</t>
        </is>
      </c>
      <c r="Q559" s="5" t="inlineStr">
        <is>
          <t>-</t>
        </is>
      </c>
    </row>
    <row r="560">
      <c r="A560" s="5" t="inlineStr">
        <is>
          <t>Dubin Andres Soto</t>
        </is>
      </c>
      <c r="B560" s="5" t="inlineStr">
        <is>
          <t>Tarjetas</t>
        </is>
      </c>
      <c r="C560" s="5" t="inlineStr">
        <is>
          <t>TARJ</t>
        </is>
      </c>
      <c r="D560" s="5" t="inlineStr">
        <is>
          <t>Tarjetas virtuales</t>
        </is>
      </c>
      <c r="E560" s="5" t="inlineStr">
        <is>
          <t>Vitest backend · unitaria</t>
        </is>
      </c>
      <c r="F560" s="5" t="inlineStr">
        <is>
          <t>VT-GetUserCards.test</t>
        </is>
      </c>
      <c r="G560" s="5" t="inlineStr">
        <is>
          <t>GetUserCards.test.ts (3 pruebas)</t>
        </is>
      </c>
      <c r="H560" s="5" t="inlineStr">
        <is>
          <t>Unitaria / Integración</t>
        </is>
      </c>
      <c r="I560" s="5" t="inlineStr">
        <is>
          <t>Funcional</t>
        </is>
      </c>
      <c r="J560" s="5" t="inlineStr">
        <is>
          <t>Vitest backend</t>
        </is>
      </c>
      <c r="K560" s="5" t="inlineStr">
        <is>
          <t>backend/src/tests/unit/card/GetUserCards.test.ts</t>
        </is>
      </c>
      <c r="L560" s="5" t="inlineStr">
        <is>
          <t>Todas las pruebas del archivo pasan</t>
        </is>
      </c>
      <c r="M560" s="5" t="inlineStr">
        <is>
          <t>3/3 pasan</t>
        </is>
      </c>
      <c r="N560" s="7" t="inlineStr">
        <is>
          <t>Aprobado</t>
        </is>
      </c>
      <c r="O560" s="5" t="inlineStr">
        <is>
          <t>2026-10-27</t>
        </is>
      </c>
      <c r="P560" s="5" t="inlineStr">
        <is>
          <t>docs/evidencia-final-equipo/vitest-backend.json</t>
        </is>
      </c>
      <c r="Q560" s="5" t="inlineStr">
        <is>
          <t>-</t>
        </is>
      </c>
    </row>
    <row r="561">
      <c r="A561" s="5" t="inlineStr">
        <is>
          <t>Dubin Andres Soto</t>
        </is>
      </c>
      <c r="B561" s="5" t="inlineStr">
        <is>
          <t>Tarjetas</t>
        </is>
      </c>
      <c r="C561" s="5" t="inlineStr">
        <is>
          <t>TARJ</t>
        </is>
      </c>
      <c r="D561" s="5" t="inlineStr">
        <is>
          <t>Tarjetas virtuales</t>
        </is>
      </c>
      <c r="E561" s="5" t="inlineStr">
        <is>
          <t>Vitest backend · unitaria</t>
        </is>
      </c>
      <c r="F561" s="5" t="inlineStr">
        <is>
          <t>VT-RevealVirtualCardDetails.test</t>
        </is>
      </c>
      <c r="G561" s="5" t="inlineStr">
        <is>
          <t>RevealVirtualCardDetails.test.ts (4 pruebas)</t>
        </is>
      </c>
      <c r="H561" s="5" t="inlineStr">
        <is>
          <t>Unitaria / Integración</t>
        </is>
      </c>
      <c r="I561" s="5" t="inlineStr">
        <is>
          <t>Funcional</t>
        </is>
      </c>
      <c r="J561" s="5" t="inlineStr">
        <is>
          <t>Vitest backend</t>
        </is>
      </c>
      <c r="K561" s="5" t="inlineStr">
        <is>
          <t>backend/src/tests/unit/card/RevealVirtualCardDetails.test.ts</t>
        </is>
      </c>
      <c r="L561" s="5" t="inlineStr">
        <is>
          <t>Todas las pruebas del archivo pasan</t>
        </is>
      </c>
      <c r="M561" s="5" t="inlineStr">
        <is>
          <t>4/4 pasan</t>
        </is>
      </c>
      <c r="N561" s="7" t="inlineStr">
        <is>
          <t>Aprobado</t>
        </is>
      </c>
      <c r="O561" s="5" t="inlineStr">
        <is>
          <t>2026-10-27</t>
        </is>
      </c>
      <c r="P561" s="5" t="inlineStr">
        <is>
          <t>docs/evidencia-final-equipo/vitest-backend.json</t>
        </is>
      </c>
      <c r="Q561" s="5" t="inlineStr">
        <is>
          <t>-</t>
        </is>
      </c>
    </row>
    <row r="562">
      <c r="A562" s="5" t="inlineStr">
        <is>
          <t>Dubin Andres Soto</t>
        </is>
      </c>
      <c r="B562" s="5" t="inlineStr">
        <is>
          <t>Tarjetas</t>
        </is>
      </c>
      <c r="C562" s="5" t="inlineStr">
        <is>
          <t>TARJ</t>
        </is>
      </c>
      <c r="D562" s="5" t="inlineStr">
        <is>
          <t>Tarjetas virtuales</t>
        </is>
      </c>
      <c r="E562" s="5" t="inlineStr">
        <is>
          <t>Vitest backend · unitaria</t>
        </is>
      </c>
      <c r="F562" s="5" t="inlineStr">
        <is>
          <t>VT-SupabaseVirtualCardRepository.test</t>
        </is>
      </c>
      <c r="G562" s="5" t="inlineStr">
        <is>
          <t>SupabaseVirtualCardRepository.test.ts (9 pruebas)</t>
        </is>
      </c>
      <c r="H562" s="5" t="inlineStr">
        <is>
          <t>Unitaria / Integración</t>
        </is>
      </c>
      <c r="I562" s="5" t="inlineStr">
        <is>
          <t>Funcional</t>
        </is>
      </c>
      <c r="J562" s="5" t="inlineStr">
        <is>
          <t>Vitest backend</t>
        </is>
      </c>
      <c r="K562" s="5" t="inlineStr">
        <is>
          <t>backend/src/tests/unit/card/SupabaseVirtualCardRepository.test.ts</t>
        </is>
      </c>
      <c r="L562" s="5" t="inlineStr">
        <is>
          <t>Todas las pruebas del archivo pasan</t>
        </is>
      </c>
      <c r="M562" s="5" t="inlineStr">
        <is>
          <t>9/9 pasan</t>
        </is>
      </c>
      <c r="N562" s="7" t="inlineStr">
        <is>
          <t>Aprobado</t>
        </is>
      </c>
      <c r="O562" s="5" t="inlineStr">
        <is>
          <t>2026-10-27</t>
        </is>
      </c>
      <c r="P562" s="5" t="inlineStr">
        <is>
          <t>docs/evidencia-final-equipo/vitest-backend.json</t>
        </is>
      </c>
      <c r="Q562" s="5" t="inlineStr">
        <is>
          <t>-</t>
        </is>
      </c>
    </row>
    <row r="563">
      <c r="A563" s="5" t="inlineStr">
        <is>
          <t>Dubin Andres Soto</t>
        </is>
      </c>
      <c r="B563" s="5" t="inlineStr">
        <is>
          <t>Tarjetas</t>
        </is>
      </c>
      <c r="C563" s="5" t="inlineStr">
        <is>
          <t>TARJ</t>
        </is>
      </c>
      <c r="D563" s="5" t="inlineStr">
        <is>
          <t>Tarjetas virtuales</t>
        </is>
      </c>
      <c r="E563" s="5" t="inlineStr">
        <is>
          <t>Vitest backend · unitaria</t>
        </is>
      </c>
      <c r="F563" s="5" t="inlineStr">
        <is>
          <t>VT-ToggleCardLock.test</t>
        </is>
      </c>
      <c r="G563" s="5" t="inlineStr">
        <is>
          <t>ToggleCardLock.test.ts (6 pruebas)</t>
        </is>
      </c>
      <c r="H563" s="5" t="inlineStr">
        <is>
          <t>Unitaria / Integración</t>
        </is>
      </c>
      <c r="I563" s="5" t="inlineStr">
        <is>
          <t>Funcional</t>
        </is>
      </c>
      <c r="J563" s="5" t="inlineStr">
        <is>
          <t>Vitest backend</t>
        </is>
      </c>
      <c r="K563" s="5" t="inlineStr">
        <is>
          <t>backend/src/tests/unit/card/ToggleCardLock.test.ts</t>
        </is>
      </c>
      <c r="L563" s="5" t="inlineStr">
        <is>
          <t>Todas las pruebas del archivo pasan</t>
        </is>
      </c>
      <c r="M563" s="5" t="inlineStr">
        <is>
          <t>6/6 pasan</t>
        </is>
      </c>
      <c r="N563" s="7" t="inlineStr">
        <is>
          <t>Aprobado</t>
        </is>
      </c>
      <c r="O563" s="5" t="inlineStr">
        <is>
          <t>2026-10-27</t>
        </is>
      </c>
      <c r="P563" s="5" t="inlineStr">
        <is>
          <t>docs/evidencia-final-equipo/vitest-backend.json</t>
        </is>
      </c>
      <c r="Q563" s="5" t="inlineStr">
        <is>
          <t>-</t>
        </is>
      </c>
    </row>
    <row r="564">
      <c r="A564" s="5" t="inlineStr">
        <is>
          <t>Dubin Andres Soto</t>
        </is>
      </c>
      <c r="B564" s="5" t="inlineStr">
        <is>
          <t>Tarjetas</t>
        </is>
      </c>
      <c r="C564" s="5" t="inlineStr">
        <is>
          <t>TARJ</t>
        </is>
      </c>
      <c r="D564" s="5" t="inlineStr">
        <is>
          <t>Tarjetas virtuales</t>
        </is>
      </c>
      <c r="E564" s="5" t="inlineStr">
        <is>
          <t>Vitest backend · unitaria</t>
        </is>
      </c>
      <c r="F564" s="5" t="inlineStr">
        <is>
          <t>VT-VirtualCard.entity.test</t>
        </is>
      </c>
      <c r="G564" s="5" t="inlineStr">
        <is>
          <t>VirtualCard.entity.test.ts (5 pruebas)</t>
        </is>
      </c>
      <c r="H564" s="5" t="inlineStr">
        <is>
          <t>Unitaria / Integración</t>
        </is>
      </c>
      <c r="I564" s="5" t="inlineStr">
        <is>
          <t>Funcional</t>
        </is>
      </c>
      <c r="J564" s="5" t="inlineStr">
        <is>
          <t>Vitest backend</t>
        </is>
      </c>
      <c r="K564" s="5" t="inlineStr">
        <is>
          <t>backend/src/tests/unit/card/VirtualCard.entity.test.ts</t>
        </is>
      </c>
      <c r="L564" s="5" t="inlineStr">
        <is>
          <t>Todas las pruebas del archivo pasan</t>
        </is>
      </c>
      <c r="M564" s="5" t="inlineStr">
        <is>
          <t>5/5 pasan</t>
        </is>
      </c>
      <c r="N564" s="7" t="inlineStr">
        <is>
          <t>Aprobado</t>
        </is>
      </c>
      <c r="O564" s="5" t="inlineStr">
        <is>
          <t>2026-10-27</t>
        </is>
      </c>
      <c r="P564" s="5" t="inlineStr">
        <is>
          <t>docs/evidencia-final-equipo/vitest-backend.json</t>
        </is>
      </c>
      <c r="Q564" s="5" t="inlineStr">
        <is>
          <t>-</t>
        </is>
      </c>
    </row>
    <row r="565">
      <c r="A565" s="5" t="inlineStr">
        <is>
          <t>Dubin Andres Soto</t>
        </is>
      </c>
      <c r="B565" s="5" t="inlineStr">
        <is>
          <t>Tarjetas</t>
        </is>
      </c>
      <c r="C565" s="5" t="inlineStr">
        <is>
          <t>TARJ</t>
        </is>
      </c>
      <c r="D565" s="5" t="inlineStr">
        <is>
          <t>Tarjetas virtuales</t>
        </is>
      </c>
      <c r="E565" s="5" t="inlineStr">
        <is>
          <t>Vitest backend · unitaria</t>
        </is>
      </c>
      <c r="F565" s="5" t="inlineStr">
        <is>
          <t>VT-card-fault-injection.test</t>
        </is>
      </c>
      <c r="G565" s="5" t="inlineStr">
        <is>
          <t>card-fault-injection.test.ts (5 pruebas)</t>
        </is>
      </c>
      <c r="H565" s="5" t="inlineStr">
        <is>
          <t>Unitaria / Integración</t>
        </is>
      </c>
      <c r="I565" s="5" t="inlineStr">
        <is>
          <t>Funcional</t>
        </is>
      </c>
      <c r="J565" s="5" t="inlineStr">
        <is>
          <t>Vitest backend</t>
        </is>
      </c>
      <c r="K565" s="5" t="inlineStr">
        <is>
          <t>backend/src/tests/unit/card/card-fault-injection.test.ts</t>
        </is>
      </c>
      <c r="L565" s="5" t="inlineStr">
        <is>
          <t>Todas las pruebas del archivo pasan</t>
        </is>
      </c>
      <c r="M565" s="5" t="inlineStr">
        <is>
          <t>5/5 pasan</t>
        </is>
      </c>
      <c r="N565" s="7" t="inlineStr">
        <is>
          <t>Aprobado</t>
        </is>
      </c>
      <c r="O565" s="5" t="inlineStr">
        <is>
          <t>2026-10-27</t>
        </is>
      </c>
      <c r="P565" s="5" t="inlineStr">
        <is>
          <t>docs/evidencia-final-equipo/vitest-backend.json</t>
        </is>
      </c>
      <c r="Q565" s="5" t="inlineStr">
        <is>
          <t>-</t>
        </is>
      </c>
    </row>
    <row r="566">
      <c r="A566" s="5" t="inlineStr">
        <is>
          <t>Dubin Andres Soto</t>
        </is>
      </c>
      <c r="B566" s="5" t="inlineStr">
        <is>
          <t>Tarjetas</t>
        </is>
      </c>
      <c r="C566" s="5" t="inlineStr">
        <is>
          <t>TARJ</t>
        </is>
      </c>
      <c r="D566" s="5" t="inlineStr">
        <is>
          <t>Tarjetas virtuales</t>
        </is>
      </c>
      <c r="E566" s="5" t="inlineStr">
        <is>
          <t>Vitest backend · API</t>
        </is>
      </c>
      <c r="F566" s="5" t="inlineStr">
        <is>
          <t>VT-card.api.test</t>
        </is>
      </c>
      <c r="G566" s="5" t="inlineStr">
        <is>
          <t>card.api.test.ts (8 pruebas)</t>
        </is>
      </c>
      <c r="H566" s="5" t="inlineStr">
        <is>
          <t>Unitaria / Integración</t>
        </is>
      </c>
      <c r="I566" s="5" t="inlineStr">
        <is>
          <t>Funcional</t>
        </is>
      </c>
      <c r="J566" s="5" t="inlineStr">
        <is>
          <t>Vitest backend</t>
        </is>
      </c>
      <c r="K566" s="5" t="inlineStr">
        <is>
          <t>backend/src/tests/api/card.api.test.ts</t>
        </is>
      </c>
      <c r="L566" s="5" t="inlineStr">
        <is>
          <t>Todas las pruebas del archivo pasan</t>
        </is>
      </c>
      <c r="M566" s="5" t="inlineStr">
        <is>
          <t>8/8 pasan</t>
        </is>
      </c>
      <c r="N566" s="7" t="inlineStr">
        <is>
          <t>Aprobado</t>
        </is>
      </c>
      <c r="O566" s="5" t="inlineStr">
        <is>
          <t>2026-10-27</t>
        </is>
      </c>
      <c r="P566" s="5" t="inlineStr">
        <is>
          <t>docs/evidencia-final-equipo/vitest-backend.json</t>
        </is>
      </c>
      <c r="Q566" s="5" t="inlineStr">
        <is>
          <t>-</t>
        </is>
      </c>
    </row>
    <row r="567">
      <c r="A567" s="5" t="inlineStr">
        <is>
          <t>Dubin Andres Soto</t>
        </is>
      </c>
      <c r="B567" s="5" t="inlineStr">
        <is>
          <t>Tarjetas</t>
        </is>
      </c>
      <c r="C567" s="5" t="inlineStr">
        <is>
          <t>TARJ</t>
        </is>
      </c>
      <c r="D567" s="5" t="inlineStr">
        <is>
          <t>Tarjetas virtuales</t>
        </is>
      </c>
      <c r="E567" s="5" t="inlineStr">
        <is>
          <t>Vitest backend · performance</t>
        </is>
      </c>
      <c r="F567" s="5" t="inlineStr">
        <is>
          <t>VT-card.performance.test</t>
        </is>
      </c>
      <c r="G567" s="5" t="inlineStr">
        <is>
          <t>card.performance.test.ts (1 pruebas)</t>
        </is>
      </c>
      <c r="H567" s="5" t="inlineStr">
        <is>
          <t>Unitaria / Integración</t>
        </is>
      </c>
      <c r="I567" s="5" t="inlineStr">
        <is>
          <t>Rendimiento</t>
        </is>
      </c>
      <c r="J567" s="5" t="inlineStr">
        <is>
          <t>Vitest backend</t>
        </is>
      </c>
      <c r="K567" s="5" t="inlineStr">
        <is>
          <t>backend/src/tests/performance/card.performance.test.ts</t>
        </is>
      </c>
      <c r="L567" s="5" t="inlineStr">
        <is>
          <t>Todas las pruebas del archivo pasan</t>
        </is>
      </c>
      <c r="M567" s="5" t="inlineStr">
        <is>
          <t>1/1 pasan (corrida aislada; en paralelo con la suite completa la auth excede 150 ms)</t>
        </is>
      </c>
      <c r="N567" s="7" t="inlineStr">
        <is>
          <t>Aprobado</t>
        </is>
      </c>
      <c r="O567" s="5" t="inlineStr">
        <is>
          <t>2026-10-27</t>
        </is>
      </c>
      <c r="P567" s="5" t="inlineStr">
        <is>
          <t>docs/evidencia-final-equipo/vitest-performance-aislado.json</t>
        </is>
      </c>
      <c r="Q567" s="5" t="inlineStr">
        <is>
          <t>-</t>
        </is>
      </c>
    </row>
    <row r="568">
      <c r="A568" s="5" t="inlineStr">
        <is>
          <t>Dubin Andres Soto</t>
        </is>
      </c>
      <c r="B568" s="5" t="inlineStr">
        <is>
          <t>Tarjetas</t>
        </is>
      </c>
      <c r="C568" s="5" t="inlineStr">
        <is>
          <t>TARJ</t>
        </is>
      </c>
      <c r="D568" s="5" t="inlineStr">
        <is>
          <t>Tarjetas virtuales</t>
        </is>
      </c>
      <c r="E568" s="5" t="inlineStr">
        <is>
          <t>Vitest backend · regresión</t>
        </is>
      </c>
      <c r="F568" s="5" t="inlineStr">
        <is>
          <t>VT-card.regression.test</t>
        </is>
      </c>
      <c r="G568" s="5" t="inlineStr">
        <is>
          <t>card.regression.test.ts (5 pruebas)</t>
        </is>
      </c>
      <c r="H568" s="5" t="inlineStr">
        <is>
          <t>Unitaria / Integración</t>
        </is>
      </c>
      <c r="I568" s="5" t="inlineStr">
        <is>
          <t>Funcional</t>
        </is>
      </c>
      <c r="J568" s="5" t="inlineStr">
        <is>
          <t>Vitest backend</t>
        </is>
      </c>
      <c r="K568" s="5" t="inlineStr">
        <is>
          <t>backend/src/tests/regression/card.regression.test.ts</t>
        </is>
      </c>
      <c r="L568" s="5" t="inlineStr">
        <is>
          <t>Todas las pruebas del archivo pasan</t>
        </is>
      </c>
      <c r="M568" s="5" t="inlineStr">
        <is>
          <t>5/5 pasan</t>
        </is>
      </c>
      <c r="N568" s="7" t="inlineStr">
        <is>
          <t>Aprobado</t>
        </is>
      </c>
      <c r="O568" s="5" t="inlineStr">
        <is>
          <t>2026-10-27</t>
        </is>
      </c>
      <c r="P568" s="5" t="inlineStr">
        <is>
          <t>docs/evidencia-final-equipo/vitest-backend.json</t>
        </is>
      </c>
      <c r="Q568" s="5" t="inlineStr">
        <is>
          <t>-</t>
        </is>
      </c>
    </row>
    <row r="569">
      <c r="A569" s="5" t="inlineStr">
        <is>
          <t>Dubin Andres Soto</t>
        </is>
      </c>
      <c r="B569" s="5" t="inlineStr">
        <is>
          <t>Tarjetas</t>
        </is>
      </c>
      <c r="C569" s="5" t="inlineStr">
        <is>
          <t>TARJ</t>
        </is>
      </c>
      <c r="D569" s="5" t="inlineStr">
        <is>
          <t>Tarjetas virtuales</t>
        </is>
      </c>
      <c r="E569" s="5" t="inlineStr">
        <is>
          <t>Vitest backend · seguridad</t>
        </is>
      </c>
      <c r="F569" s="5" t="inlineStr">
        <is>
          <t>VT-card.security.test</t>
        </is>
      </c>
      <c r="G569" s="5" t="inlineStr">
        <is>
          <t>card.security.test.ts (4 pruebas)</t>
        </is>
      </c>
      <c r="H569" s="5" t="inlineStr">
        <is>
          <t>Unitaria / Integración</t>
        </is>
      </c>
      <c r="I569" s="5" t="inlineStr">
        <is>
          <t>Seguridad</t>
        </is>
      </c>
      <c r="J569" s="5" t="inlineStr">
        <is>
          <t>Vitest backend</t>
        </is>
      </c>
      <c r="K569" s="5" t="inlineStr">
        <is>
          <t>backend/src/tests/security/card.security.test.ts</t>
        </is>
      </c>
      <c r="L569" s="5" t="inlineStr">
        <is>
          <t>Todas las pruebas del archivo pasan</t>
        </is>
      </c>
      <c r="M569" s="5" t="inlineStr">
        <is>
          <t>4/4 pasan</t>
        </is>
      </c>
      <c r="N569" s="7" t="inlineStr">
        <is>
          <t>Aprobado</t>
        </is>
      </c>
      <c r="O569" s="5" t="inlineStr">
        <is>
          <t>2026-10-27</t>
        </is>
      </c>
      <c r="P569" s="5" t="inlineStr">
        <is>
          <t>docs/evidencia-final-equipo/vitest-backend.json</t>
        </is>
      </c>
      <c r="Q569" s="5" t="inlineStr">
        <is>
          <t>-</t>
        </is>
      </c>
    </row>
    <row r="570">
      <c r="A570" s="5" t="inlineStr">
        <is>
          <t>Dubin Andres Soto</t>
        </is>
      </c>
      <c r="B570" s="5" t="inlineStr">
        <is>
          <t>Tarjetas</t>
        </is>
      </c>
      <c r="C570" s="5" t="inlineStr">
        <is>
          <t>TARJ</t>
        </is>
      </c>
      <c r="D570" s="5" t="inlineStr">
        <is>
          <t>Tarjetas virtuales</t>
        </is>
      </c>
      <c r="E570" s="5" t="inlineStr">
        <is>
          <t>Vitest frontend · unitaria</t>
        </is>
      </c>
      <c r="F570" s="5" t="inlineStr">
        <is>
          <t>VT-ConfirmCardPasswordModal.test</t>
        </is>
      </c>
      <c r="G570" s="5" t="inlineStr">
        <is>
          <t>ConfirmCardPasswordModal.test.tsx (9 pruebas)</t>
        </is>
      </c>
      <c r="H570" s="5" t="inlineStr">
        <is>
          <t>Unitaria / Integración</t>
        </is>
      </c>
      <c r="I570" s="5" t="inlineStr">
        <is>
          <t>Funcional</t>
        </is>
      </c>
      <c r="J570" s="5" t="inlineStr">
        <is>
          <t>Vitest frontend</t>
        </is>
      </c>
      <c r="K570" s="5" t="inlineStr">
        <is>
          <t>frontend/src/tests/unit/cards/ConfirmCardPasswordModal.test.tsx</t>
        </is>
      </c>
      <c r="L570" s="5" t="inlineStr">
        <is>
          <t>Todas las pruebas del archivo pasan</t>
        </is>
      </c>
      <c r="M570" s="5" t="inlineStr">
        <is>
          <t>9/9 pasan</t>
        </is>
      </c>
      <c r="N570" s="7" t="inlineStr">
        <is>
          <t>Aprobado</t>
        </is>
      </c>
      <c r="O570" s="5" t="inlineStr">
        <is>
          <t>2026-10-27</t>
        </is>
      </c>
      <c r="P570" s="5" t="inlineStr">
        <is>
          <t>docs/evidencia-final-equipo/vitest-frontend.json</t>
        </is>
      </c>
      <c r="Q570" s="5" t="inlineStr">
        <is>
          <t>-</t>
        </is>
      </c>
    </row>
    <row r="571">
      <c r="A571" s="5" t="inlineStr">
        <is>
          <t>Dubin Andres Soto</t>
        </is>
      </c>
      <c r="B571" s="5" t="inlineStr">
        <is>
          <t>Tarjetas</t>
        </is>
      </c>
      <c r="C571" s="5" t="inlineStr">
        <is>
          <t>TARJ</t>
        </is>
      </c>
      <c r="D571" s="5" t="inlineStr">
        <is>
          <t>Tarjetas virtuales</t>
        </is>
      </c>
      <c r="E571" s="5" t="inlineStr">
        <is>
          <t>Vitest frontend · unitaria</t>
        </is>
      </c>
      <c r="F571" s="5" t="inlineStr">
        <is>
          <t>VT-LoanCard.test</t>
        </is>
      </c>
      <c r="G571" s="5" t="inlineStr">
        <is>
          <t>LoanCard.test.tsx (14 pruebas)</t>
        </is>
      </c>
      <c r="H571" s="5" t="inlineStr">
        <is>
          <t>Unitaria / Integración</t>
        </is>
      </c>
      <c r="I571" s="5" t="inlineStr">
        <is>
          <t>Funcional</t>
        </is>
      </c>
      <c r="J571" s="5" t="inlineStr">
        <is>
          <t>Vitest frontend</t>
        </is>
      </c>
      <c r="K571" s="5" t="inlineStr">
        <is>
          <t>frontend/src/tests/unit/admin/LoanCard.test.tsx</t>
        </is>
      </c>
      <c r="L571" s="5" t="inlineStr">
        <is>
          <t>Todas las pruebas del archivo pasan</t>
        </is>
      </c>
      <c r="M571" s="5" t="inlineStr">
        <is>
          <t>14/14 pasan</t>
        </is>
      </c>
      <c r="N571" s="7" t="inlineStr">
        <is>
          <t>Aprobado</t>
        </is>
      </c>
      <c r="O571" s="5" t="inlineStr">
        <is>
          <t>2026-10-27</t>
        </is>
      </c>
      <c r="P571" s="5" t="inlineStr">
        <is>
          <t>docs/evidencia-final-equipo/vitest-frontend.json</t>
        </is>
      </c>
      <c r="Q571" s="5" t="inlineStr">
        <is>
          <t>-</t>
        </is>
      </c>
    </row>
    <row r="572">
      <c r="A572" s="5" t="inlineStr">
        <is>
          <t>Dubin Andres Soto</t>
        </is>
      </c>
      <c r="B572" s="5" t="inlineStr">
        <is>
          <t>Tarjetas</t>
        </is>
      </c>
      <c r="C572" s="5" t="inlineStr">
        <is>
          <t>TARJ</t>
        </is>
      </c>
      <c r="D572" s="5" t="inlineStr">
        <is>
          <t>Tarjetas virtuales</t>
        </is>
      </c>
      <c r="E572" s="5" t="inlineStr">
        <is>
          <t>Vitest frontend · unitaria</t>
        </is>
      </c>
      <c r="F572" s="5" t="inlineStr">
        <is>
          <t>VT-ProfileCard.test</t>
        </is>
      </c>
      <c r="G572" s="5" t="inlineStr">
        <is>
          <t>ProfileCard.test.tsx (16 pruebas)</t>
        </is>
      </c>
      <c r="H572" s="5" t="inlineStr">
        <is>
          <t>Unitaria / Integración</t>
        </is>
      </c>
      <c r="I572" s="5" t="inlineStr">
        <is>
          <t>Funcional</t>
        </is>
      </c>
      <c r="J572" s="5" t="inlineStr">
        <is>
          <t>Vitest frontend</t>
        </is>
      </c>
      <c r="K572" s="5" t="inlineStr">
        <is>
          <t>frontend/src/tests/unit/components/ProfileCard.test.tsx</t>
        </is>
      </c>
      <c r="L572" s="5" t="inlineStr">
        <is>
          <t>Todas las pruebas del archivo pasan</t>
        </is>
      </c>
      <c r="M572" s="5" t="inlineStr">
        <is>
          <t>16/16 pasan</t>
        </is>
      </c>
      <c r="N572" s="7" t="inlineStr">
        <is>
          <t>Aprobado</t>
        </is>
      </c>
      <c r="O572" s="5" t="inlineStr">
        <is>
          <t>2026-10-27</t>
        </is>
      </c>
      <c r="P572" s="5" t="inlineStr">
        <is>
          <t>docs/evidencia-final-equipo/vitest-frontend.json</t>
        </is>
      </c>
      <c r="Q572" s="5" t="inlineStr">
        <is>
          <t>-</t>
        </is>
      </c>
    </row>
    <row r="573">
      <c r="A573" s="5" t="inlineStr">
        <is>
          <t>Dubin Andres Soto</t>
        </is>
      </c>
      <c r="B573" s="5" t="inlineStr">
        <is>
          <t>Tarjetas</t>
        </is>
      </c>
      <c r="C573" s="5" t="inlineStr">
        <is>
          <t>TARJ</t>
        </is>
      </c>
      <c r="D573" s="5" t="inlineStr">
        <is>
          <t>Tarjetas virtuales</t>
        </is>
      </c>
      <c r="E573" s="5" t="inlineStr">
        <is>
          <t>Vitest frontend · unitaria</t>
        </is>
      </c>
      <c r="F573" s="5" t="inlineStr">
        <is>
          <t>VT-ProfileCard.test</t>
        </is>
      </c>
      <c r="G573" s="5" t="inlineStr">
        <is>
          <t>ProfileCard.test.tsx (16 pruebas)</t>
        </is>
      </c>
      <c r="H573" s="5" t="inlineStr">
        <is>
          <t>Unitaria / Integración</t>
        </is>
      </c>
      <c r="I573" s="5" t="inlineStr">
        <is>
          <t>Funcional</t>
        </is>
      </c>
      <c r="J573" s="5" t="inlineStr">
        <is>
          <t>Vitest frontend</t>
        </is>
      </c>
      <c r="K573" s="5" t="inlineStr">
        <is>
          <t>frontend/src/tests/unit/profile/ProfileCard.test.tsx</t>
        </is>
      </c>
      <c r="L573" s="5" t="inlineStr">
        <is>
          <t>Todas las pruebas del archivo pasan</t>
        </is>
      </c>
      <c r="M573" s="5" t="inlineStr">
        <is>
          <t>16/16 pasan</t>
        </is>
      </c>
      <c r="N573" s="7" t="inlineStr">
        <is>
          <t>Aprobado</t>
        </is>
      </c>
      <c r="O573" s="5" t="inlineStr">
        <is>
          <t>2026-10-27</t>
        </is>
      </c>
      <c r="P573" s="5" t="inlineStr">
        <is>
          <t>docs/evidencia-final-equipo/vitest-frontend.json</t>
        </is>
      </c>
      <c r="Q573" s="5" t="inlineStr">
        <is>
          <t>-</t>
        </is>
      </c>
    </row>
    <row r="574">
      <c r="A574" s="5" t="inlineStr">
        <is>
          <t>Dubin Andres Soto</t>
        </is>
      </c>
      <c r="B574" s="5" t="inlineStr">
        <is>
          <t>Tarjetas</t>
        </is>
      </c>
      <c r="C574" s="5" t="inlineStr">
        <is>
          <t>TARJ</t>
        </is>
      </c>
      <c r="D574" s="5" t="inlineStr">
        <is>
          <t>Tarjetas virtuales</t>
        </is>
      </c>
      <c r="E574" s="5" t="inlineStr">
        <is>
          <t>Vitest frontend · unitaria</t>
        </is>
      </c>
      <c r="F574" s="5" t="inlineStr">
        <is>
          <t>VT-VirtualCard.test</t>
        </is>
      </c>
      <c r="G574" s="5" t="inlineStr">
        <is>
          <t>VirtualCard.test.tsx (14 pruebas)</t>
        </is>
      </c>
      <c r="H574" s="5" t="inlineStr">
        <is>
          <t>Unitaria / Integración</t>
        </is>
      </c>
      <c r="I574" s="5" t="inlineStr">
        <is>
          <t>Funcional</t>
        </is>
      </c>
      <c r="J574" s="5" t="inlineStr">
        <is>
          <t>Vitest frontend</t>
        </is>
      </c>
      <c r="K574" s="5" t="inlineStr">
        <is>
          <t>frontend/src/tests/unit/cards/VirtualCard.test.tsx</t>
        </is>
      </c>
      <c r="L574" s="5" t="inlineStr">
        <is>
          <t>Todas las pruebas del archivo pasan</t>
        </is>
      </c>
      <c r="M574" s="5" t="inlineStr">
        <is>
          <t>14/14 pasan</t>
        </is>
      </c>
      <c r="N574" s="7" t="inlineStr">
        <is>
          <t>Aprobado</t>
        </is>
      </c>
      <c r="O574" s="5" t="inlineStr">
        <is>
          <t>2026-10-27</t>
        </is>
      </c>
      <c r="P574" s="5" t="inlineStr">
        <is>
          <t>docs/evidencia-final-equipo/vitest-frontend.json</t>
        </is>
      </c>
      <c r="Q574" s="5" t="inlineStr">
        <is>
          <t>-</t>
        </is>
      </c>
    </row>
    <row r="575">
      <c r="A575" s="5" t="inlineStr">
        <is>
          <t>Dubin Andres Soto</t>
        </is>
      </c>
      <c r="B575" s="5" t="inlineStr">
        <is>
          <t>Tarjetas</t>
        </is>
      </c>
      <c r="C575" s="5" t="inlineStr">
        <is>
          <t>TARJ</t>
        </is>
      </c>
      <c r="D575" s="5" t="inlineStr">
        <is>
          <t>Tarjetas virtuales</t>
        </is>
      </c>
      <c r="E575" s="5" t="inlineStr">
        <is>
          <t>Vitest frontend · unitaria</t>
        </is>
      </c>
      <c r="F575" s="5" t="inlineStr">
        <is>
          <t>VT-VirtualCard.test</t>
        </is>
      </c>
      <c r="G575" s="5" t="inlineStr">
        <is>
          <t>VirtualCard.test.tsx (12 pruebas)</t>
        </is>
      </c>
      <c r="H575" s="5" t="inlineStr">
        <is>
          <t>Unitaria / Integración</t>
        </is>
      </c>
      <c r="I575" s="5" t="inlineStr">
        <is>
          <t>Funcional</t>
        </is>
      </c>
      <c r="J575" s="5" t="inlineStr">
        <is>
          <t>Vitest frontend</t>
        </is>
      </c>
      <c r="K575" s="5" t="inlineStr">
        <is>
          <t>frontend/src/tests/unit/components/VirtualCard.test.tsx</t>
        </is>
      </c>
      <c r="L575" s="5" t="inlineStr">
        <is>
          <t>Todas las pruebas del archivo pasan</t>
        </is>
      </c>
      <c r="M575" s="5" t="inlineStr">
        <is>
          <t>12/12 pasan</t>
        </is>
      </c>
      <c r="N575" s="7" t="inlineStr">
        <is>
          <t>Aprobado</t>
        </is>
      </c>
      <c r="O575" s="5" t="inlineStr">
        <is>
          <t>2026-10-27</t>
        </is>
      </c>
      <c r="P575" s="5" t="inlineStr">
        <is>
          <t>docs/evidencia-final-equipo/vitest-frontend.json</t>
        </is>
      </c>
      <c r="Q575" s="5" t="inlineStr">
        <is>
          <t>-</t>
        </is>
      </c>
    </row>
    <row r="576">
      <c r="A576" s="5" t="inlineStr">
        <is>
          <t>Dubin Andres Soto</t>
        </is>
      </c>
      <c r="B576" s="5" t="inlineStr">
        <is>
          <t>Tarjetas</t>
        </is>
      </c>
      <c r="C576" s="5" t="inlineStr">
        <is>
          <t>TARJ</t>
        </is>
      </c>
      <c r="D576" s="5" t="inlineStr">
        <is>
          <t>Tarjetas virtuales</t>
        </is>
      </c>
      <c r="E576" s="5" t="inlineStr">
        <is>
          <t>Vitest frontend · unitaria</t>
        </is>
      </c>
      <c r="F576" s="5" t="inlineStr">
        <is>
          <t>VT-card.service.test</t>
        </is>
      </c>
      <c r="G576" s="5" t="inlineStr">
        <is>
          <t>card.service.test.ts (6 pruebas)</t>
        </is>
      </c>
      <c r="H576" s="5" t="inlineStr">
        <is>
          <t>Unitaria / Integración</t>
        </is>
      </c>
      <c r="I576" s="5" t="inlineStr">
        <is>
          <t>Funcional</t>
        </is>
      </c>
      <c r="J576" s="5" t="inlineStr">
        <is>
          <t>Vitest frontend</t>
        </is>
      </c>
      <c r="K576" s="5" t="inlineStr">
        <is>
          <t>frontend/src/tests/unit/cards/card.service.test.ts</t>
        </is>
      </c>
      <c r="L576" s="5" t="inlineStr">
        <is>
          <t>Todas las pruebas del archivo pasan</t>
        </is>
      </c>
      <c r="M576" s="5" t="inlineStr">
        <is>
          <t>6/6 pasan</t>
        </is>
      </c>
      <c r="N576" s="7" t="inlineStr">
        <is>
          <t>Aprobado</t>
        </is>
      </c>
      <c r="O576" s="5" t="inlineStr">
        <is>
          <t>2026-10-27</t>
        </is>
      </c>
      <c r="P576" s="5" t="inlineStr">
        <is>
          <t>docs/evidencia-final-equipo/vitest-frontend.json</t>
        </is>
      </c>
      <c r="Q576" s="5" t="inlineStr">
        <is>
          <t>-</t>
        </is>
      </c>
    </row>
    <row r="577">
      <c r="A577" s="5" t="inlineStr">
        <is>
          <t>Dubin Andres Soto</t>
        </is>
      </c>
      <c r="B577" s="5" t="inlineStr">
        <is>
          <t>Tarjetas</t>
        </is>
      </c>
      <c r="C577" s="5" t="inlineStr">
        <is>
          <t>TARJ</t>
        </is>
      </c>
      <c r="D577" s="5" t="inlineStr">
        <is>
          <t>Tarjetas virtuales</t>
        </is>
      </c>
      <c r="E577" s="5" t="inlineStr">
        <is>
          <t>Vitest frontend · unitaria</t>
        </is>
      </c>
      <c r="F577" s="5" t="inlineStr">
        <is>
          <t>VT-card.service.test</t>
        </is>
      </c>
      <c r="G577" s="5" t="inlineStr">
        <is>
          <t>card.service.test.ts (5 pruebas)</t>
        </is>
      </c>
      <c r="H577" s="5" t="inlineStr">
        <is>
          <t>Unitaria / Integración</t>
        </is>
      </c>
      <c r="I577" s="5" t="inlineStr">
        <is>
          <t>Funcional</t>
        </is>
      </c>
      <c r="J577" s="5" t="inlineStr">
        <is>
          <t>Vitest frontend</t>
        </is>
      </c>
      <c r="K577" s="5" t="inlineStr">
        <is>
          <t>frontend/src/tests/unit/services/card.service.test.ts</t>
        </is>
      </c>
      <c r="L577" s="5" t="inlineStr">
        <is>
          <t>Todas las pruebas del archivo pasan</t>
        </is>
      </c>
      <c r="M577" s="5" t="inlineStr">
        <is>
          <t>5/5 pasan</t>
        </is>
      </c>
      <c r="N577" s="7" t="inlineStr">
        <is>
          <t>Aprobado</t>
        </is>
      </c>
      <c r="O577" s="5" t="inlineStr">
        <is>
          <t>2026-10-27</t>
        </is>
      </c>
      <c r="P577" s="5" t="inlineStr">
        <is>
          <t>docs/evidencia-final-equipo/vitest-frontend.json</t>
        </is>
      </c>
      <c r="Q577" s="5" t="inlineStr">
        <is>
          <t>-</t>
        </is>
      </c>
    </row>
    <row r="578">
      <c r="A578" s="5" t="inlineStr">
        <is>
          <t>Dubin Andres Soto</t>
        </is>
      </c>
      <c r="B578" s="5" t="inlineStr">
        <is>
          <t>Tarjetas</t>
        </is>
      </c>
      <c r="C578" s="5" t="inlineStr">
        <is>
          <t>TARJ</t>
        </is>
      </c>
      <c r="D578" s="5" t="inlineStr">
        <is>
          <t>Tarjetas virtuales</t>
        </is>
      </c>
      <c r="E578" s="5" t="inlineStr">
        <is>
          <t>Vitest frontend · unitaria</t>
        </is>
      </c>
      <c r="F578" s="5" t="inlineStr">
        <is>
          <t>VT-useCards.test</t>
        </is>
      </c>
      <c r="G578" s="5" t="inlineStr">
        <is>
          <t>useCards.test.ts (11 pruebas)</t>
        </is>
      </c>
      <c r="H578" s="5" t="inlineStr">
        <is>
          <t>Unitaria / Integración</t>
        </is>
      </c>
      <c r="I578" s="5" t="inlineStr">
        <is>
          <t>Funcional</t>
        </is>
      </c>
      <c r="J578" s="5" t="inlineStr">
        <is>
          <t>Vitest frontend</t>
        </is>
      </c>
      <c r="K578" s="5" t="inlineStr">
        <is>
          <t>frontend/src/tests/unit/cards/useCards.test.ts</t>
        </is>
      </c>
      <c r="L578" s="5" t="inlineStr">
        <is>
          <t>Todas las pruebas del archivo pasan</t>
        </is>
      </c>
      <c r="M578" s="5" t="inlineStr">
        <is>
          <t>11/11 pasan</t>
        </is>
      </c>
      <c r="N578" s="7" t="inlineStr">
        <is>
          <t>Aprobado</t>
        </is>
      </c>
      <c r="O578" s="5" t="inlineStr">
        <is>
          <t>2026-10-27</t>
        </is>
      </c>
      <c r="P578" s="5" t="inlineStr">
        <is>
          <t>docs/evidencia-final-equipo/vitest-frontend.json</t>
        </is>
      </c>
      <c r="Q578" s="5" t="inlineStr">
        <is>
          <t>-</t>
        </is>
      </c>
    </row>
    <row r="579">
      <c r="A579" s="5" t="inlineStr">
        <is>
          <t>Dubin Andres Soto</t>
        </is>
      </c>
      <c r="B579" s="5" t="inlineStr">
        <is>
          <t>Tarjetas</t>
        </is>
      </c>
      <c r="C579" s="5" t="inlineStr">
        <is>
          <t>TARJ</t>
        </is>
      </c>
      <c r="D579" s="5" t="inlineStr">
        <is>
          <t>Tarjetas virtuales</t>
        </is>
      </c>
      <c r="E579" s="5" t="inlineStr">
        <is>
          <t>Vitest frontend · unitaria</t>
        </is>
      </c>
      <c r="F579" s="5" t="inlineStr">
        <is>
          <t>VT-useCards.test</t>
        </is>
      </c>
      <c r="G579" s="5" t="inlineStr">
        <is>
          <t>useCards.test.ts (8 pruebas)</t>
        </is>
      </c>
      <c r="H579" s="5" t="inlineStr">
        <is>
          <t>Unitaria / Integración</t>
        </is>
      </c>
      <c r="I579" s="5" t="inlineStr">
        <is>
          <t>Funcional</t>
        </is>
      </c>
      <c r="J579" s="5" t="inlineStr">
        <is>
          <t>Vitest frontend</t>
        </is>
      </c>
      <c r="K579" s="5" t="inlineStr">
        <is>
          <t>frontend/src/tests/unit/hooks/useCards.test.ts</t>
        </is>
      </c>
      <c r="L579" s="5" t="inlineStr">
        <is>
          <t>Todas las pruebas del archivo pasan</t>
        </is>
      </c>
      <c r="M579" s="5" t="inlineStr">
        <is>
          <t>8/8 pasan</t>
        </is>
      </c>
      <c r="N579" s="7" t="inlineStr">
        <is>
          <t>Aprobado</t>
        </is>
      </c>
      <c r="O579" s="5" t="inlineStr">
        <is>
          <t>2026-10-27</t>
        </is>
      </c>
      <c r="P579" s="5" t="inlineStr">
        <is>
          <t>docs/evidencia-final-equipo/vitest-frontend.json</t>
        </is>
      </c>
      <c r="Q579" s="5" t="inlineStr">
        <is>
          <t>-</t>
        </is>
      </c>
    </row>
    <row r="580">
      <c r="A580" s="5" t="inlineStr">
        <is>
          <t>Equipo</t>
        </is>
      </c>
      <c r="B580" s="5" t="inlineStr">
        <is>
          <t>Otros</t>
        </is>
      </c>
      <c r="C580" s="5" t="inlineStr">
        <is>
          <t>OTROS</t>
        </is>
      </c>
      <c r="D580" s="5" t="inlineStr">
        <is>
          <t>Otros módulos (transferencias, solicitudes, notificaciones, pagos, cuentas, UX)</t>
        </is>
      </c>
      <c r="E580" s="5" t="inlineStr">
        <is>
          <t>test-set-0</t>
        </is>
      </c>
      <c r="F580" s="5" t="inlineStr">
        <is>
          <t>KP-get-api-v1-accounts-by-id-1</t>
        </is>
      </c>
      <c r="G580" s="5" t="inlineStr">
        <is>
          <t>get-api-v1-accounts-by-id-1</t>
        </is>
      </c>
      <c r="H580" s="5" t="inlineStr">
        <is>
          <t>Integración (API, mocks de Supabase)</t>
        </is>
      </c>
      <c r="I580" s="5" t="inlineStr">
        <is>
          <t>Regresión</t>
        </is>
      </c>
      <c r="J580" s="5" t="inlineStr">
        <is>
          <t>IA · Keploy (Alejandro)</t>
        </is>
      </c>
      <c r="K580" s="5" t="inlineStr">
        <is>
          <t>03-keploy/evidence/test-set-0-saneado/tests/get-api-v1-accounts-by-id-1.yaml</t>
        </is>
      </c>
      <c r="L580" s="5" t="inlineStr">
        <is>
          <t>Respuesta igual a la grabada (ruido: token, id, Etag)</t>
        </is>
      </c>
      <c r="M580" s="5" t="inlineStr">
        <is>
          <t>Reproducido igual a lo grabado</t>
        </is>
      </c>
      <c r="N580" s="7" t="inlineStr">
        <is>
          <t>Aprobado</t>
        </is>
      </c>
      <c r="O580" s="5" t="inlineStr">
        <is>
          <t>2026-10-27</t>
        </is>
      </c>
      <c r="P580" s="5" t="inlineStr">
        <is>
          <t>03-keploy/evidence/02-replay-con-ruido-50-de-50.txt</t>
        </is>
      </c>
      <c r="Q580" s="5" t="inlineStr">
        <is>
          <t>-</t>
        </is>
      </c>
    </row>
    <row r="581">
      <c r="A581" s="5" t="inlineStr">
        <is>
          <t>Equipo</t>
        </is>
      </c>
      <c r="B581" s="5" t="inlineStr">
        <is>
          <t>Otros</t>
        </is>
      </c>
      <c r="C581" s="5" t="inlineStr">
        <is>
          <t>OTROS</t>
        </is>
      </c>
      <c r="D581" s="5" t="inlineStr">
        <is>
          <t>Otros módulos (transferencias, solicitudes, notificaciones, pagos, cuentas, UX)</t>
        </is>
      </c>
      <c r="E581" s="5" t="inlineStr">
        <is>
          <t>test-set-0</t>
        </is>
      </c>
      <c r="F581" s="5" t="inlineStr">
        <is>
          <t>KP-get-api-v1-accounts-by-id-10</t>
        </is>
      </c>
      <c r="G581" s="5" t="inlineStr">
        <is>
          <t>get-api-v1-accounts-by-id-10</t>
        </is>
      </c>
      <c r="H581" s="5" t="inlineStr">
        <is>
          <t>Integración (API, mocks de Supabase)</t>
        </is>
      </c>
      <c r="I581" s="5" t="inlineStr">
        <is>
          <t>Regresión</t>
        </is>
      </c>
      <c r="J581" s="5" t="inlineStr">
        <is>
          <t>IA · Keploy (Alejandro)</t>
        </is>
      </c>
      <c r="K581" s="5" t="inlineStr">
        <is>
          <t>03-keploy/evidence/test-set-0-saneado/tests/get-api-v1-accounts-by-id-10.yaml</t>
        </is>
      </c>
      <c r="L581" s="5" t="inlineStr">
        <is>
          <t>Respuesta igual a la grabada (ruido: token, id, Etag)</t>
        </is>
      </c>
      <c r="M581" s="5" t="inlineStr">
        <is>
          <t>Reproducido igual a lo grabado</t>
        </is>
      </c>
      <c r="N581" s="7" t="inlineStr">
        <is>
          <t>Aprobado</t>
        </is>
      </c>
      <c r="O581" s="5" t="inlineStr">
        <is>
          <t>2026-10-27</t>
        </is>
      </c>
      <c r="P581" s="5" t="inlineStr">
        <is>
          <t>03-keploy/evidence/02-replay-con-ruido-50-de-50.txt</t>
        </is>
      </c>
      <c r="Q581" s="5" t="inlineStr">
        <is>
          <t>-</t>
        </is>
      </c>
    </row>
    <row r="582">
      <c r="A582" s="5" t="inlineStr">
        <is>
          <t>Equipo</t>
        </is>
      </c>
      <c r="B582" s="5" t="inlineStr">
        <is>
          <t>Otros</t>
        </is>
      </c>
      <c r="C582" s="5" t="inlineStr">
        <is>
          <t>OTROS</t>
        </is>
      </c>
      <c r="D582" s="5" t="inlineStr">
        <is>
          <t>Otros módulos (transferencias, solicitudes, notificaciones, pagos, cuentas, UX)</t>
        </is>
      </c>
      <c r="E582" s="5" t="inlineStr">
        <is>
          <t>test-set-0</t>
        </is>
      </c>
      <c r="F582" s="5" t="inlineStr">
        <is>
          <t>KP-get-api-v1-accounts-by-id-11</t>
        </is>
      </c>
      <c r="G582" s="5" t="inlineStr">
        <is>
          <t>get-api-v1-accounts-by-id-11</t>
        </is>
      </c>
      <c r="H582" s="5" t="inlineStr">
        <is>
          <t>Integración (API, mocks de Supabase)</t>
        </is>
      </c>
      <c r="I582" s="5" t="inlineStr">
        <is>
          <t>Regresión</t>
        </is>
      </c>
      <c r="J582" s="5" t="inlineStr">
        <is>
          <t>IA · Keploy (Alejandro)</t>
        </is>
      </c>
      <c r="K582" s="5" t="inlineStr">
        <is>
          <t>03-keploy/evidence/test-set-0-saneado/tests/get-api-v1-accounts-by-id-11.yaml</t>
        </is>
      </c>
      <c r="L582" s="5" t="inlineStr">
        <is>
          <t>Respuesta igual a la grabada (ruido: token, id, Etag)</t>
        </is>
      </c>
      <c r="M582" s="5" t="inlineStr">
        <is>
          <t>Reproducido igual a lo grabado</t>
        </is>
      </c>
      <c r="N582" s="7" t="inlineStr">
        <is>
          <t>Aprobado</t>
        </is>
      </c>
      <c r="O582" s="5" t="inlineStr">
        <is>
          <t>2026-10-27</t>
        </is>
      </c>
      <c r="P582" s="5" t="inlineStr">
        <is>
          <t>03-keploy/evidence/02-replay-con-ruido-50-de-50.txt</t>
        </is>
      </c>
      <c r="Q582" s="5" t="inlineStr">
        <is>
          <t>-</t>
        </is>
      </c>
    </row>
    <row r="583">
      <c r="A583" s="5" t="inlineStr">
        <is>
          <t>Equipo</t>
        </is>
      </c>
      <c r="B583" s="5" t="inlineStr">
        <is>
          <t>Otros</t>
        </is>
      </c>
      <c r="C583" s="5" t="inlineStr">
        <is>
          <t>OTROS</t>
        </is>
      </c>
      <c r="D583" s="5" t="inlineStr">
        <is>
          <t>Otros módulos (transferencias, solicitudes, notificaciones, pagos, cuentas, UX)</t>
        </is>
      </c>
      <c r="E583" s="5" t="inlineStr">
        <is>
          <t>test-set-0</t>
        </is>
      </c>
      <c r="F583" s="5" t="inlineStr">
        <is>
          <t>KP-get-api-v1-accounts-by-id-12</t>
        </is>
      </c>
      <c r="G583" s="5" t="inlineStr">
        <is>
          <t>get-api-v1-accounts-by-id-12</t>
        </is>
      </c>
      <c r="H583" s="5" t="inlineStr">
        <is>
          <t>Integración (API, mocks de Supabase)</t>
        </is>
      </c>
      <c r="I583" s="5" t="inlineStr">
        <is>
          <t>Regresión</t>
        </is>
      </c>
      <c r="J583" s="5" t="inlineStr">
        <is>
          <t>IA · Keploy (Alejandro)</t>
        </is>
      </c>
      <c r="K583" s="5" t="inlineStr">
        <is>
          <t>03-keploy/evidence/test-set-0-saneado/tests/get-api-v1-accounts-by-id-12.yaml</t>
        </is>
      </c>
      <c r="L583" s="5" t="inlineStr">
        <is>
          <t>Respuesta igual a la grabada (ruido: token, id, Etag)</t>
        </is>
      </c>
      <c r="M583" s="5" t="inlineStr">
        <is>
          <t>Reproducido igual a lo grabado</t>
        </is>
      </c>
      <c r="N583" s="7" t="inlineStr">
        <is>
          <t>Aprobado</t>
        </is>
      </c>
      <c r="O583" s="5" t="inlineStr">
        <is>
          <t>2026-10-27</t>
        </is>
      </c>
      <c r="P583" s="5" t="inlineStr">
        <is>
          <t>03-keploy/evidence/02-replay-con-ruido-50-de-50.txt</t>
        </is>
      </c>
      <c r="Q583" s="5" t="inlineStr">
        <is>
          <t>-</t>
        </is>
      </c>
    </row>
    <row r="584">
      <c r="A584" s="5" t="inlineStr">
        <is>
          <t>Equipo</t>
        </is>
      </c>
      <c r="B584" s="5" t="inlineStr">
        <is>
          <t>Otros</t>
        </is>
      </c>
      <c r="C584" s="5" t="inlineStr">
        <is>
          <t>OTROS</t>
        </is>
      </c>
      <c r="D584" s="5" t="inlineStr">
        <is>
          <t>Otros módulos (transferencias, solicitudes, notificaciones, pagos, cuentas, UX)</t>
        </is>
      </c>
      <c r="E584" s="5" t="inlineStr">
        <is>
          <t>test-set-0</t>
        </is>
      </c>
      <c r="F584" s="5" t="inlineStr">
        <is>
          <t>KP-get-api-v1-accounts-by-id-13</t>
        </is>
      </c>
      <c r="G584" s="5" t="inlineStr">
        <is>
          <t>get-api-v1-accounts-by-id-13</t>
        </is>
      </c>
      <c r="H584" s="5" t="inlineStr">
        <is>
          <t>Integración (API, mocks de Supabase)</t>
        </is>
      </c>
      <c r="I584" s="5" t="inlineStr">
        <is>
          <t>Regresión</t>
        </is>
      </c>
      <c r="J584" s="5" t="inlineStr">
        <is>
          <t>IA · Keploy (Alejandro)</t>
        </is>
      </c>
      <c r="K584" s="5" t="inlineStr">
        <is>
          <t>03-keploy/evidence/test-set-0-saneado/tests/get-api-v1-accounts-by-id-13.yaml</t>
        </is>
      </c>
      <c r="L584" s="5" t="inlineStr">
        <is>
          <t>Respuesta igual a la grabada (ruido: token, id, Etag)</t>
        </is>
      </c>
      <c r="M584" s="5" t="inlineStr">
        <is>
          <t>Reproducido igual a lo grabado</t>
        </is>
      </c>
      <c r="N584" s="7" t="inlineStr">
        <is>
          <t>Aprobado</t>
        </is>
      </c>
      <c r="O584" s="5" t="inlineStr">
        <is>
          <t>2026-10-27</t>
        </is>
      </c>
      <c r="P584" s="5" t="inlineStr">
        <is>
          <t>03-keploy/evidence/02-replay-con-ruido-50-de-50.txt</t>
        </is>
      </c>
      <c r="Q584" s="5" t="inlineStr">
        <is>
          <t>-</t>
        </is>
      </c>
    </row>
    <row r="585">
      <c r="A585" s="5" t="inlineStr">
        <is>
          <t>Equipo</t>
        </is>
      </c>
      <c r="B585" s="5" t="inlineStr">
        <is>
          <t>Otros</t>
        </is>
      </c>
      <c r="C585" s="5" t="inlineStr">
        <is>
          <t>OTROS</t>
        </is>
      </c>
      <c r="D585" s="5" t="inlineStr">
        <is>
          <t>Otros módulos (transferencias, solicitudes, notificaciones, pagos, cuentas, UX)</t>
        </is>
      </c>
      <c r="E585" s="5" t="inlineStr">
        <is>
          <t>test-set-0</t>
        </is>
      </c>
      <c r="F585" s="5" t="inlineStr">
        <is>
          <t>KP-get-api-v1-accounts-by-id-14</t>
        </is>
      </c>
      <c r="G585" s="5" t="inlineStr">
        <is>
          <t>get-api-v1-accounts-by-id-14</t>
        </is>
      </c>
      <c r="H585" s="5" t="inlineStr">
        <is>
          <t>Integración (API, mocks de Supabase)</t>
        </is>
      </c>
      <c r="I585" s="5" t="inlineStr">
        <is>
          <t>Regresión</t>
        </is>
      </c>
      <c r="J585" s="5" t="inlineStr">
        <is>
          <t>IA · Keploy (Alejandro)</t>
        </is>
      </c>
      <c r="K585" s="5" t="inlineStr">
        <is>
          <t>03-keploy/evidence/test-set-0-saneado/tests/get-api-v1-accounts-by-id-14.yaml</t>
        </is>
      </c>
      <c r="L585" s="5" t="inlineStr">
        <is>
          <t>Respuesta igual a la grabada (ruido: token, id, Etag)</t>
        </is>
      </c>
      <c r="M585" s="5" t="inlineStr">
        <is>
          <t>Reproducido igual a lo grabado</t>
        </is>
      </c>
      <c r="N585" s="7" t="inlineStr">
        <is>
          <t>Aprobado</t>
        </is>
      </c>
      <c r="O585" s="5" t="inlineStr">
        <is>
          <t>2026-10-27</t>
        </is>
      </c>
      <c r="P585" s="5" t="inlineStr">
        <is>
          <t>03-keploy/evidence/02-replay-con-ruido-50-de-50.txt</t>
        </is>
      </c>
      <c r="Q585" s="5" t="inlineStr">
        <is>
          <t>-</t>
        </is>
      </c>
    </row>
    <row r="586">
      <c r="A586" s="5" t="inlineStr">
        <is>
          <t>Equipo</t>
        </is>
      </c>
      <c r="B586" s="5" t="inlineStr">
        <is>
          <t>Otros</t>
        </is>
      </c>
      <c r="C586" s="5" t="inlineStr">
        <is>
          <t>OTROS</t>
        </is>
      </c>
      <c r="D586" s="5" t="inlineStr">
        <is>
          <t>Otros módulos (transferencias, solicitudes, notificaciones, pagos, cuentas, UX)</t>
        </is>
      </c>
      <c r="E586" s="5" t="inlineStr">
        <is>
          <t>test-set-0</t>
        </is>
      </c>
      <c r="F586" s="5" t="inlineStr">
        <is>
          <t>KP-get-api-v1-accounts-by-id-2</t>
        </is>
      </c>
      <c r="G586" s="5" t="inlineStr">
        <is>
          <t>get-api-v1-accounts-by-id-2</t>
        </is>
      </c>
      <c r="H586" s="5" t="inlineStr">
        <is>
          <t>Integración (API, mocks de Supabase)</t>
        </is>
      </c>
      <c r="I586" s="5" t="inlineStr">
        <is>
          <t>Regresión</t>
        </is>
      </c>
      <c r="J586" s="5" t="inlineStr">
        <is>
          <t>IA · Keploy (Alejandro)</t>
        </is>
      </c>
      <c r="K586" s="5" t="inlineStr">
        <is>
          <t>03-keploy/evidence/test-set-0-saneado/tests/get-api-v1-accounts-by-id-2.yaml</t>
        </is>
      </c>
      <c r="L586" s="5" t="inlineStr">
        <is>
          <t>Respuesta igual a la grabada (ruido: token, id, Etag)</t>
        </is>
      </c>
      <c r="M586" s="5" t="inlineStr">
        <is>
          <t>Reproducido igual a lo grabado</t>
        </is>
      </c>
      <c r="N586" s="7" t="inlineStr">
        <is>
          <t>Aprobado</t>
        </is>
      </c>
      <c r="O586" s="5" t="inlineStr">
        <is>
          <t>2026-10-27</t>
        </is>
      </c>
      <c r="P586" s="5" t="inlineStr">
        <is>
          <t>03-keploy/evidence/02-replay-con-ruido-50-de-50.txt</t>
        </is>
      </c>
      <c r="Q586" s="5" t="inlineStr">
        <is>
          <t>-</t>
        </is>
      </c>
    </row>
    <row r="587">
      <c r="A587" s="5" t="inlineStr">
        <is>
          <t>Equipo</t>
        </is>
      </c>
      <c r="B587" s="5" t="inlineStr">
        <is>
          <t>Otros</t>
        </is>
      </c>
      <c r="C587" s="5" t="inlineStr">
        <is>
          <t>OTROS</t>
        </is>
      </c>
      <c r="D587" s="5" t="inlineStr">
        <is>
          <t>Otros módulos (transferencias, solicitudes, notificaciones, pagos, cuentas, UX)</t>
        </is>
      </c>
      <c r="E587" s="5" t="inlineStr">
        <is>
          <t>test-set-0</t>
        </is>
      </c>
      <c r="F587" s="5" t="inlineStr">
        <is>
          <t>KP-get-api-v1-accounts-by-id-3</t>
        </is>
      </c>
      <c r="G587" s="5" t="inlineStr">
        <is>
          <t>get-api-v1-accounts-by-id-3</t>
        </is>
      </c>
      <c r="H587" s="5" t="inlineStr">
        <is>
          <t>Integración (API, mocks de Supabase)</t>
        </is>
      </c>
      <c r="I587" s="5" t="inlineStr">
        <is>
          <t>Regresión</t>
        </is>
      </c>
      <c r="J587" s="5" t="inlineStr">
        <is>
          <t>IA · Keploy (Alejandro)</t>
        </is>
      </c>
      <c r="K587" s="5" t="inlineStr">
        <is>
          <t>03-keploy/evidence/test-set-0-saneado/tests/get-api-v1-accounts-by-id-3.yaml</t>
        </is>
      </c>
      <c r="L587" s="5" t="inlineStr">
        <is>
          <t>Respuesta igual a la grabada (ruido: token, id, Etag)</t>
        </is>
      </c>
      <c r="M587" s="5" t="inlineStr">
        <is>
          <t>Reproducido igual a lo grabado</t>
        </is>
      </c>
      <c r="N587" s="7" t="inlineStr">
        <is>
          <t>Aprobado</t>
        </is>
      </c>
      <c r="O587" s="5" t="inlineStr">
        <is>
          <t>2026-10-27</t>
        </is>
      </c>
      <c r="P587" s="5" t="inlineStr">
        <is>
          <t>03-keploy/evidence/02-replay-con-ruido-50-de-50.txt</t>
        </is>
      </c>
      <c r="Q587" s="5" t="inlineStr">
        <is>
          <t>-</t>
        </is>
      </c>
    </row>
    <row r="588">
      <c r="A588" s="5" t="inlineStr">
        <is>
          <t>Equipo</t>
        </is>
      </c>
      <c r="B588" s="5" t="inlineStr">
        <is>
          <t>Otros</t>
        </is>
      </c>
      <c r="C588" s="5" t="inlineStr">
        <is>
          <t>OTROS</t>
        </is>
      </c>
      <c r="D588" s="5" t="inlineStr">
        <is>
          <t>Otros módulos (transferencias, solicitudes, notificaciones, pagos, cuentas, UX)</t>
        </is>
      </c>
      <c r="E588" s="5" t="inlineStr">
        <is>
          <t>test-set-0</t>
        </is>
      </c>
      <c r="F588" s="5" t="inlineStr">
        <is>
          <t>KP-get-api-v1-accounts-by-id-4</t>
        </is>
      </c>
      <c r="G588" s="5" t="inlineStr">
        <is>
          <t>get-api-v1-accounts-by-id-4</t>
        </is>
      </c>
      <c r="H588" s="5" t="inlineStr">
        <is>
          <t>Integración (API, mocks de Supabase)</t>
        </is>
      </c>
      <c r="I588" s="5" t="inlineStr">
        <is>
          <t>Regresión</t>
        </is>
      </c>
      <c r="J588" s="5" t="inlineStr">
        <is>
          <t>IA · Keploy (Alejandro)</t>
        </is>
      </c>
      <c r="K588" s="5" t="inlineStr">
        <is>
          <t>03-keploy/evidence/test-set-0-saneado/tests/get-api-v1-accounts-by-id-4.yaml</t>
        </is>
      </c>
      <c r="L588" s="5" t="inlineStr">
        <is>
          <t>Respuesta igual a la grabada (ruido: token, id, Etag)</t>
        </is>
      </c>
      <c r="M588" s="5" t="inlineStr">
        <is>
          <t>Reproducido igual a lo grabado</t>
        </is>
      </c>
      <c r="N588" s="7" t="inlineStr">
        <is>
          <t>Aprobado</t>
        </is>
      </c>
      <c r="O588" s="5" t="inlineStr">
        <is>
          <t>2026-10-27</t>
        </is>
      </c>
      <c r="P588" s="5" t="inlineStr">
        <is>
          <t>03-keploy/evidence/02-replay-con-ruido-50-de-50.txt</t>
        </is>
      </c>
      <c r="Q588" s="5" t="inlineStr">
        <is>
          <t>-</t>
        </is>
      </c>
    </row>
    <row r="589">
      <c r="A589" s="5" t="inlineStr">
        <is>
          <t>Equipo</t>
        </is>
      </c>
      <c r="B589" s="5" t="inlineStr">
        <is>
          <t>Otros</t>
        </is>
      </c>
      <c r="C589" s="5" t="inlineStr">
        <is>
          <t>OTROS</t>
        </is>
      </c>
      <c r="D589" s="5" t="inlineStr">
        <is>
          <t>Otros módulos (transferencias, solicitudes, notificaciones, pagos, cuentas, UX)</t>
        </is>
      </c>
      <c r="E589" s="5" t="inlineStr">
        <is>
          <t>test-set-0</t>
        </is>
      </c>
      <c r="F589" s="5" t="inlineStr">
        <is>
          <t>KP-get-api-v1-accounts-by-id-5</t>
        </is>
      </c>
      <c r="G589" s="5" t="inlineStr">
        <is>
          <t>get-api-v1-accounts-by-id-5</t>
        </is>
      </c>
      <c r="H589" s="5" t="inlineStr">
        <is>
          <t>Integración (API, mocks de Supabase)</t>
        </is>
      </c>
      <c r="I589" s="5" t="inlineStr">
        <is>
          <t>Regresión</t>
        </is>
      </c>
      <c r="J589" s="5" t="inlineStr">
        <is>
          <t>IA · Keploy (Alejandro)</t>
        </is>
      </c>
      <c r="K589" s="5" t="inlineStr">
        <is>
          <t>03-keploy/evidence/test-set-0-saneado/tests/get-api-v1-accounts-by-id-5.yaml</t>
        </is>
      </c>
      <c r="L589" s="5" t="inlineStr">
        <is>
          <t>Respuesta igual a la grabada (ruido: token, id, Etag)</t>
        </is>
      </c>
      <c r="M589" s="5" t="inlineStr">
        <is>
          <t>Reproducido igual a lo grabado</t>
        </is>
      </c>
      <c r="N589" s="7" t="inlineStr">
        <is>
          <t>Aprobado</t>
        </is>
      </c>
      <c r="O589" s="5" t="inlineStr">
        <is>
          <t>2026-10-27</t>
        </is>
      </c>
      <c r="P589" s="5" t="inlineStr">
        <is>
          <t>03-keploy/evidence/02-replay-con-ruido-50-de-50.txt</t>
        </is>
      </c>
      <c r="Q589" s="5" t="inlineStr">
        <is>
          <t>-</t>
        </is>
      </c>
    </row>
    <row r="590">
      <c r="A590" s="5" t="inlineStr">
        <is>
          <t>Equipo</t>
        </is>
      </c>
      <c r="B590" s="5" t="inlineStr">
        <is>
          <t>Otros</t>
        </is>
      </c>
      <c r="C590" s="5" t="inlineStr">
        <is>
          <t>OTROS</t>
        </is>
      </c>
      <c r="D590" s="5" t="inlineStr">
        <is>
          <t>Otros módulos (transferencias, solicitudes, notificaciones, pagos, cuentas, UX)</t>
        </is>
      </c>
      <c r="E590" s="5" t="inlineStr">
        <is>
          <t>test-set-0</t>
        </is>
      </c>
      <c r="F590" s="5" t="inlineStr">
        <is>
          <t>KP-get-api-v1-accounts-by-id-6</t>
        </is>
      </c>
      <c r="G590" s="5" t="inlineStr">
        <is>
          <t>get-api-v1-accounts-by-id-6</t>
        </is>
      </c>
      <c r="H590" s="5" t="inlineStr">
        <is>
          <t>Integración (API, mocks de Supabase)</t>
        </is>
      </c>
      <c r="I590" s="5" t="inlineStr">
        <is>
          <t>Regresión</t>
        </is>
      </c>
      <c r="J590" s="5" t="inlineStr">
        <is>
          <t>IA · Keploy (Alejandro)</t>
        </is>
      </c>
      <c r="K590" s="5" t="inlineStr">
        <is>
          <t>03-keploy/evidence/test-set-0-saneado/tests/get-api-v1-accounts-by-id-6.yaml</t>
        </is>
      </c>
      <c r="L590" s="5" t="inlineStr">
        <is>
          <t>Respuesta igual a la grabada (ruido: token, id, Etag)</t>
        </is>
      </c>
      <c r="M590" s="5" t="inlineStr">
        <is>
          <t>Reproducido igual a lo grabado</t>
        </is>
      </c>
      <c r="N590" s="7" t="inlineStr">
        <is>
          <t>Aprobado</t>
        </is>
      </c>
      <c r="O590" s="5" t="inlineStr">
        <is>
          <t>2026-10-27</t>
        </is>
      </c>
      <c r="P590" s="5" t="inlineStr">
        <is>
          <t>03-keploy/evidence/02-replay-con-ruido-50-de-50.txt</t>
        </is>
      </c>
      <c r="Q590" s="5" t="inlineStr">
        <is>
          <t>-</t>
        </is>
      </c>
    </row>
    <row r="591">
      <c r="A591" s="5" t="inlineStr">
        <is>
          <t>Equipo</t>
        </is>
      </c>
      <c r="B591" s="5" t="inlineStr">
        <is>
          <t>Otros</t>
        </is>
      </c>
      <c r="C591" s="5" t="inlineStr">
        <is>
          <t>OTROS</t>
        </is>
      </c>
      <c r="D591" s="5" t="inlineStr">
        <is>
          <t>Otros módulos (transferencias, solicitudes, notificaciones, pagos, cuentas, UX)</t>
        </is>
      </c>
      <c r="E591" s="5" t="inlineStr">
        <is>
          <t>test-set-0</t>
        </is>
      </c>
      <c r="F591" s="5" t="inlineStr">
        <is>
          <t>KP-get-api-v1-accounts-by-id-7</t>
        </is>
      </c>
      <c r="G591" s="5" t="inlineStr">
        <is>
          <t>get-api-v1-accounts-by-id-7</t>
        </is>
      </c>
      <c r="H591" s="5" t="inlineStr">
        <is>
          <t>Integración (API, mocks de Supabase)</t>
        </is>
      </c>
      <c r="I591" s="5" t="inlineStr">
        <is>
          <t>Regresión</t>
        </is>
      </c>
      <c r="J591" s="5" t="inlineStr">
        <is>
          <t>IA · Keploy (Alejandro)</t>
        </is>
      </c>
      <c r="K591" s="5" t="inlineStr">
        <is>
          <t>03-keploy/evidence/test-set-0-saneado/tests/get-api-v1-accounts-by-id-7.yaml</t>
        </is>
      </c>
      <c r="L591" s="5" t="inlineStr">
        <is>
          <t>Respuesta igual a la grabada (ruido: token, id, Etag)</t>
        </is>
      </c>
      <c r="M591" s="5" t="inlineStr">
        <is>
          <t>Reproducido igual a lo grabado</t>
        </is>
      </c>
      <c r="N591" s="7" t="inlineStr">
        <is>
          <t>Aprobado</t>
        </is>
      </c>
      <c r="O591" s="5" t="inlineStr">
        <is>
          <t>2026-10-27</t>
        </is>
      </c>
      <c r="P591" s="5" t="inlineStr">
        <is>
          <t>03-keploy/evidence/02-replay-con-ruido-50-de-50.txt</t>
        </is>
      </c>
      <c r="Q591" s="5" t="inlineStr">
        <is>
          <t>-</t>
        </is>
      </c>
    </row>
    <row r="592">
      <c r="A592" s="5" t="inlineStr">
        <is>
          <t>Equipo</t>
        </is>
      </c>
      <c r="B592" s="5" t="inlineStr">
        <is>
          <t>Otros</t>
        </is>
      </c>
      <c r="C592" s="5" t="inlineStr">
        <is>
          <t>OTROS</t>
        </is>
      </c>
      <c r="D592" s="5" t="inlineStr">
        <is>
          <t>Otros módulos (transferencias, solicitudes, notificaciones, pagos, cuentas, UX)</t>
        </is>
      </c>
      <c r="E592" s="5" t="inlineStr">
        <is>
          <t>test-set-0</t>
        </is>
      </c>
      <c r="F592" s="5" t="inlineStr">
        <is>
          <t>KP-get-api-v1-accounts-by-id-8</t>
        </is>
      </c>
      <c r="G592" s="5" t="inlineStr">
        <is>
          <t>get-api-v1-accounts-by-id-8</t>
        </is>
      </c>
      <c r="H592" s="5" t="inlineStr">
        <is>
          <t>Integración (API, mocks de Supabase)</t>
        </is>
      </c>
      <c r="I592" s="5" t="inlineStr">
        <is>
          <t>Regresión</t>
        </is>
      </c>
      <c r="J592" s="5" t="inlineStr">
        <is>
          <t>IA · Keploy (Alejandro)</t>
        </is>
      </c>
      <c r="K592" s="5" t="inlineStr">
        <is>
          <t>03-keploy/evidence/test-set-0-saneado/tests/get-api-v1-accounts-by-id-8.yaml</t>
        </is>
      </c>
      <c r="L592" s="5" t="inlineStr">
        <is>
          <t>Respuesta igual a la grabada (ruido: token, id, Etag)</t>
        </is>
      </c>
      <c r="M592" s="5" t="inlineStr">
        <is>
          <t>Reproducido igual a lo grabado</t>
        </is>
      </c>
      <c r="N592" s="7" t="inlineStr">
        <is>
          <t>Aprobado</t>
        </is>
      </c>
      <c r="O592" s="5" t="inlineStr">
        <is>
          <t>2026-10-27</t>
        </is>
      </c>
      <c r="P592" s="5" t="inlineStr">
        <is>
          <t>03-keploy/evidence/02-replay-con-ruido-50-de-50.txt</t>
        </is>
      </c>
      <c r="Q592" s="5" t="inlineStr">
        <is>
          <t>-</t>
        </is>
      </c>
    </row>
    <row r="593">
      <c r="A593" s="5" t="inlineStr">
        <is>
          <t>Equipo</t>
        </is>
      </c>
      <c r="B593" s="5" t="inlineStr">
        <is>
          <t>Otros</t>
        </is>
      </c>
      <c r="C593" s="5" t="inlineStr">
        <is>
          <t>OTROS</t>
        </is>
      </c>
      <c r="D593" s="5" t="inlineStr">
        <is>
          <t>Otros módulos (transferencias, solicitudes, notificaciones, pagos, cuentas, UX)</t>
        </is>
      </c>
      <c r="E593" s="5" t="inlineStr">
        <is>
          <t>test-set-0</t>
        </is>
      </c>
      <c r="F593" s="5" t="inlineStr">
        <is>
          <t>KP-get-api-v1-accounts-by-id-9</t>
        </is>
      </c>
      <c r="G593" s="5" t="inlineStr">
        <is>
          <t>get-api-v1-accounts-by-id-9</t>
        </is>
      </c>
      <c r="H593" s="5" t="inlineStr">
        <is>
          <t>Integración (API, mocks de Supabase)</t>
        </is>
      </c>
      <c r="I593" s="5" t="inlineStr">
        <is>
          <t>Regresión</t>
        </is>
      </c>
      <c r="J593" s="5" t="inlineStr">
        <is>
          <t>IA · Keploy (Alejandro)</t>
        </is>
      </c>
      <c r="K593" s="5" t="inlineStr">
        <is>
          <t>03-keploy/evidence/test-set-0-saneado/tests/get-api-v1-accounts-by-id-9.yaml</t>
        </is>
      </c>
      <c r="L593" s="5" t="inlineStr">
        <is>
          <t>Respuesta igual a la grabada (ruido: token, id, Etag)</t>
        </is>
      </c>
      <c r="M593" s="5" t="inlineStr">
        <is>
          <t>Reproducido igual a lo grabado</t>
        </is>
      </c>
      <c r="N593" s="7" t="inlineStr">
        <is>
          <t>Aprobado</t>
        </is>
      </c>
      <c r="O593" s="5" t="inlineStr">
        <is>
          <t>2026-10-27</t>
        </is>
      </c>
      <c r="P593" s="5" t="inlineStr">
        <is>
          <t>03-keploy/evidence/02-replay-con-ruido-50-de-50.txt</t>
        </is>
      </c>
      <c r="Q593" s="5" t="inlineStr">
        <is>
          <t>-</t>
        </is>
      </c>
    </row>
    <row r="594">
      <c r="A594" s="5" t="inlineStr">
        <is>
          <t>Equipo</t>
        </is>
      </c>
      <c r="B594" s="5" t="inlineStr">
        <is>
          <t>Otros</t>
        </is>
      </c>
      <c r="C594" s="5" t="inlineStr">
        <is>
          <t>OTROS</t>
        </is>
      </c>
      <c r="D594" s="5" t="inlineStr">
        <is>
          <t>Otros módulos (transferencias, solicitudes, notificaciones, pagos, cuentas, UX)</t>
        </is>
      </c>
      <c r="E594" s="5" t="inlineStr">
        <is>
          <t>test-set-0</t>
        </is>
      </c>
      <c r="F594" s="5" t="inlineStr">
        <is>
          <t>KP-get-health-1</t>
        </is>
      </c>
      <c r="G594" s="5" t="inlineStr">
        <is>
          <t>get-health-1</t>
        </is>
      </c>
      <c r="H594" s="5" t="inlineStr">
        <is>
          <t>Integración (API, mocks de Supabase)</t>
        </is>
      </c>
      <c r="I594" s="5" t="inlineStr">
        <is>
          <t>Regresión</t>
        </is>
      </c>
      <c r="J594" s="5" t="inlineStr">
        <is>
          <t>IA · Keploy (Alejandro)</t>
        </is>
      </c>
      <c r="K594" s="5" t="inlineStr">
        <is>
          <t>03-keploy/evidence/test-set-0-saneado/tests/get-health-1.yaml</t>
        </is>
      </c>
      <c r="L594" s="5" t="inlineStr">
        <is>
          <t>Respuesta igual a la grabada (ruido: token, id, Etag)</t>
        </is>
      </c>
      <c r="M594" s="5" t="inlineStr">
        <is>
          <t>Reproducido igual a lo grabado</t>
        </is>
      </c>
      <c r="N594" s="7" t="inlineStr">
        <is>
          <t>Aprobado</t>
        </is>
      </c>
      <c r="O594" s="5" t="inlineStr">
        <is>
          <t>2026-10-27</t>
        </is>
      </c>
      <c r="P594" s="5" t="inlineStr">
        <is>
          <t>03-keploy/evidence/02-replay-con-ruido-50-de-50.txt</t>
        </is>
      </c>
      <c r="Q594" s="5" t="inlineStr">
        <is>
          <t>-</t>
        </is>
      </c>
    </row>
    <row r="595">
      <c r="A595" s="5" t="inlineStr">
        <is>
          <t>Equipo</t>
        </is>
      </c>
      <c r="B595" s="5" t="inlineStr">
        <is>
          <t>Otros</t>
        </is>
      </c>
      <c r="C595" s="5" t="inlineStr">
        <is>
          <t>OTROS</t>
        </is>
      </c>
      <c r="D595" s="5" t="inlineStr">
        <is>
          <t>Otros módulos (transferencias, solicitudes, notificaciones, pagos, cuentas, UX)</t>
        </is>
      </c>
      <c r="E595" s="5" t="inlineStr">
        <is>
          <t>test-set-0</t>
        </is>
      </c>
      <c r="F595" s="5" t="inlineStr">
        <is>
          <t>KP-post-api-v1-accounts-1</t>
        </is>
      </c>
      <c r="G595" s="5" t="inlineStr">
        <is>
          <t>post-api-v1-accounts-1</t>
        </is>
      </c>
      <c r="H595" s="5" t="inlineStr">
        <is>
          <t>Integración (API, mocks de Supabase)</t>
        </is>
      </c>
      <c r="I595" s="5" t="inlineStr">
        <is>
          <t>Regresión</t>
        </is>
      </c>
      <c r="J595" s="5" t="inlineStr">
        <is>
          <t>IA · Keploy (Alejandro)</t>
        </is>
      </c>
      <c r="K595" s="5" t="inlineStr">
        <is>
          <t>03-keploy/evidence/test-set-0-saneado/tests/post-api-v1-accounts-1.yaml</t>
        </is>
      </c>
      <c r="L595" s="5" t="inlineStr">
        <is>
          <t>Respuesta igual a la grabada (ruido: token, id, Etag)</t>
        </is>
      </c>
      <c r="M595" s="5" t="inlineStr">
        <is>
          <t>Reproducido igual a lo grabado</t>
        </is>
      </c>
      <c r="N595" s="7" t="inlineStr">
        <is>
          <t>Aprobado</t>
        </is>
      </c>
      <c r="O595" s="5" t="inlineStr">
        <is>
          <t>2026-10-27</t>
        </is>
      </c>
      <c r="P595" s="5" t="inlineStr">
        <is>
          <t>03-keploy/evidence/02-replay-con-ruido-50-de-50.txt</t>
        </is>
      </c>
      <c r="Q595" s="5" t="inlineStr">
        <is>
          <t>-</t>
        </is>
      </c>
    </row>
    <row r="596">
      <c r="A596" s="5" t="inlineStr">
        <is>
          <t>Equipo</t>
        </is>
      </c>
      <c r="B596" s="5" t="inlineStr">
        <is>
          <t>Otros</t>
        </is>
      </c>
      <c r="C596" s="5" t="inlineStr">
        <is>
          <t>OTROS</t>
        </is>
      </c>
      <c r="D596" s="5" t="inlineStr">
        <is>
          <t>Otros módulos (transferencias, solicitudes, notificaciones, pagos, cuentas, UX)</t>
        </is>
      </c>
      <c r="E596" s="5" t="inlineStr">
        <is>
          <t>test-set-0</t>
        </is>
      </c>
      <c r="F596" s="5" t="inlineStr">
        <is>
          <t>KP-post-api-v1-accounts-2</t>
        </is>
      </c>
      <c r="G596" s="5" t="inlineStr">
        <is>
          <t>post-api-v1-accounts-2</t>
        </is>
      </c>
      <c r="H596" s="5" t="inlineStr">
        <is>
          <t>Integración (API, mocks de Supabase)</t>
        </is>
      </c>
      <c r="I596" s="5" t="inlineStr">
        <is>
          <t>Regresión</t>
        </is>
      </c>
      <c r="J596" s="5" t="inlineStr">
        <is>
          <t>IA · Keploy (Alejandro)</t>
        </is>
      </c>
      <c r="K596" s="5" t="inlineStr">
        <is>
          <t>03-keploy/evidence/test-set-0-saneado/tests/post-api-v1-accounts-2.yaml</t>
        </is>
      </c>
      <c r="L596" s="5" t="inlineStr">
        <is>
          <t>Respuesta igual a la grabada (ruido: token, id, Etag)</t>
        </is>
      </c>
      <c r="M596" s="5" t="inlineStr">
        <is>
          <t>Reproducido igual a lo grabado</t>
        </is>
      </c>
      <c r="N596" s="7" t="inlineStr">
        <is>
          <t>Aprobado</t>
        </is>
      </c>
      <c r="O596" s="5" t="inlineStr">
        <is>
          <t>2026-10-27</t>
        </is>
      </c>
      <c r="P596" s="5" t="inlineStr">
        <is>
          <t>03-keploy/evidence/02-replay-con-ruido-50-de-50.txt</t>
        </is>
      </c>
      <c r="Q596" s="5" t="inlineStr">
        <is>
          <t>-</t>
        </is>
      </c>
    </row>
    <row r="597">
      <c r="A597" s="5" t="inlineStr">
        <is>
          <t>Equipo</t>
        </is>
      </c>
      <c r="B597" s="5" t="inlineStr">
        <is>
          <t>Otros</t>
        </is>
      </c>
      <c r="C597" s="5" t="inlineStr">
        <is>
          <t>OTROS</t>
        </is>
      </c>
      <c r="D597" s="5" t="inlineStr">
        <is>
          <t>Otros módulos (transferencias, solicitudes, notificaciones, pagos, cuentas, UX)</t>
        </is>
      </c>
      <c r="E597" s="5" t="inlineStr">
        <is>
          <t>test-set-0</t>
        </is>
      </c>
      <c r="F597" s="5" t="inlineStr">
        <is>
          <t>KP-post-api-v1-auth-register-1</t>
        </is>
      </c>
      <c r="G597" s="5" t="inlineStr">
        <is>
          <t>post-api-v1-auth-register-1</t>
        </is>
      </c>
      <c r="H597" s="5" t="inlineStr">
        <is>
          <t>Integración (API, mocks de Supabase)</t>
        </is>
      </c>
      <c r="I597" s="5" t="inlineStr">
        <is>
          <t>Regresión</t>
        </is>
      </c>
      <c r="J597" s="5" t="inlineStr">
        <is>
          <t>IA · Keploy (Alejandro)</t>
        </is>
      </c>
      <c r="K597" s="5" t="inlineStr">
        <is>
          <t>03-keploy/evidence/test-set-0-saneado/tests/post-api-v1-auth-register-1.yaml</t>
        </is>
      </c>
      <c r="L597" s="5" t="inlineStr">
        <is>
          <t>Respuesta igual a la grabada (ruido: token, id, Etag)</t>
        </is>
      </c>
      <c r="M597" s="5" t="inlineStr">
        <is>
          <t>Reproducido igual a lo grabado</t>
        </is>
      </c>
      <c r="N597" s="7" t="inlineStr">
        <is>
          <t>Aprobado</t>
        </is>
      </c>
      <c r="O597" s="5" t="inlineStr">
        <is>
          <t>2026-10-27</t>
        </is>
      </c>
      <c r="P597" s="5" t="inlineStr">
        <is>
          <t>03-keploy/evidence/02-replay-con-ruido-50-de-50.txt</t>
        </is>
      </c>
      <c r="Q597" s="5" t="inlineStr">
        <is>
          <t>-</t>
        </is>
      </c>
    </row>
    <row r="598">
      <c r="A598" s="5" t="inlineStr">
        <is>
          <t>Equipo</t>
        </is>
      </c>
      <c r="B598" s="5" t="inlineStr">
        <is>
          <t>Otros</t>
        </is>
      </c>
      <c r="C598" s="5" t="inlineStr">
        <is>
          <t>OTROS</t>
        </is>
      </c>
      <c r="D598" s="5" t="inlineStr">
        <is>
          <t>Otros módulos (transferencias, solicitudes, notificaciones, pagos, cuentas, UX)</t>
        </is>
      </c>
      <c r="E598" s="5" t="inlineStr">
        <is>
          <t>test-set-0</t>
        </is>
      </c>
      <c r="F598" s="5" t="inlineStr">
        <is>
          <t>KP-post-api-v1-auth-register-2</t>
        </is>
      </c>
      <c r="G598" s="5" t="inlineStr">
        <is>
          <t>post-api-v1-auth-register-2</t>
        </is>
      </c>
      <c r="H598" s="5" t="inlineStr">
        <is>
          <t>Integración (API, mocks de Supabase)</t>
        </is>
      </c>
      <c r="I598" s="5" t="inlineStr">
        <is>
          <t>Regresión</t>
        </is>
      </c>
      <c r="J598" s="5" t="inlineStr">
        <is>
          <t>IA · Keploy (Alejandro)</t>
        </is>
      </c>
      <c r="K598" s="5" t="inlineStr">
        <is>
          <t>03-keploy/evidence/test-set-0-saneado/tests/post-api-v1-auth-register-2.yaml</t>
        </is>
      </c>
      <c r="L598" s="5" t="inlineStr">
        <is>
          <t>Respuesta igual a la grabada (ruido: token, id, Etag)</t>
        </is>
      </c>
      <c r="M598" s="5" t="inlineStr">
        <is>
          <t>Reproducido igual a lo grabado</t>
        </is>
      </c>
      <c r="N598" s="7" t="inlineStr">
        <is>
          <t>Aprobado</t>
        </is>
      </c>
      <c r="O598" s="5" t="inlineStr">
        <is>
          <t>2026-10-27</t>
        </is>
      </c>
      <c r="P598" s="5" t="inlineStr">
        <is>
          <t>03-keploy/evidence/02-replay-con-ruido-50-de-50.txt</t>
        </is>
      </c>
      <c r="Q598" s="5" t="inlineStr">
        <is>
          <t>-</t>
        </is>
      </c>
    </row>
    <row r="599">
      <c r="A599" s="5" t="inlineStr">
        <is>
          <t>Equipo</t>
        </is>
      </c>
      <c r="B599" s="5" t="inlineStr">
        <is>
          <t>Otros</t>
        </is>
      </c>
      <c r="C599" s="5" t="inlineStr">
        <is>
          <t>OTROS</t>
        </is>
      </c>
      <c r="D599" s="5" t="inlineStr">
        <is>
          <t>Otros módulos (transferencias, solicitudes, notificaciones, pagos, cuentas, UX)</t>
        </is>
      </c>
      <c r="E599" s="5" t="inlineStr">
        <is>
          <t>Vitest backend · unitaria</t>
        </is>
      </c>
      <c r="F599" s="5" t="inlineStr">
        <is>
          <t>VT-Notification.entity.test</t>
        </is>
      </c>
      <c r="G599" s="5" t="inlineStr">
        <is>
          <t>Notification.entity.test.ts (2 pruebas)</t>
        </is>
      </c>
      <c r="H599" s="5" t="inlineStr">
        <is>
          <t>Unitaria / Integración</t>
        </is>
      </c>
      <c r="I599" s="5" t="inlineStr">
        <is>
          <t>Funcional</t>
        </is>
      </c>
      <c r="J599" s="5" t="inlineStr">
        <is>
          <t>Vitest backend</t>
        </is>
      </c>
      <c r="K599" s="5" t="inlineStr">
        <is>
          <t>backend/src/tests/unit/shared/Notification.entity.test.ts</t>
        </is>
      </c>
      <c r="L599" s="5" t="inlineStr">
        <is>
          <t>Todas las pruebas del archivo pasan</t>
        </is>
      </c>
      <c r="M599" s="5" t="inlineStr">
        <is>
          <t>2/2 pasan</t>
        </is>
      </c>
      <c r="N599" s="7" t="inlineStr">
        <is>
          <t>Aprobado</t>
        </is>
      </c>
      <c r="O599" s="5" t="inlineStr">
        <is>
          <t>2026-10-27</t>
        </is>
      </c>
      <c r="P599" s="5" t="inlineStr">
        <is>
          <t>docs/evidencia-final-equipo/vitest-backend.json</t>
        </is>
      </c>
      <c r="Q599" s="5" t="inlineStr">
        <is>
          <t>-</t>
        </is>
      </c>
    </row>
    <row r="600">
      <c r="A600" s="5" t="inlineStr">
        <is>
          <t>Equipo</t>
        </is>
      </c>
      <c r="B600" s="5" t="inlineStr">
        <is>
          <t>Otros</t>
        </is>
      </c>
      <c r="C600" s="5" t="inlineStr">
        <is>
          <t>OTROS</t>
        </is>
      </c>
      <c r="D600" s="5" t="inlineStr">
        <is>
          <t>Otros módulos (transferencias, solicitudes, notificaciones, pagos, cuentas, UX)</t>
        </is>
      </c>
      <c r="E600" s="5" t="inlineStr">
        <is>
          <t>Vitest backend · API</t>
        </is>
      </c>
      <c r="F600" s="5" t="inlineStr">
        <is>
          <t>VT-account.api.test</t>
        </is>
      </c>
      <c r="G600" s="5" t="inlineStr">
        <is>
          <t>account.api.test.ts (4 pruebas)</t>
        </is>
      </c>
      <c r="H600" s="5" t="inlineStr">
        <is>
          <t>Unitaria / Integración</t>
        </is>
      </c>
      <c r="I600" s="5" t="inlineStr">
        <is>
          <t>Funcional</t>
        </is>
      </c>
      <c r="J600" s="5" t="inlineStr">
        <is>
          <t>Vitest backend</t>
        </is>
      </c>
      <c r="K600" s="5" t="inlineStr">
        <is>
          <t>backend/src/tests/api/account.api.test.ts</t>
        </is>
      </c>
      <c r="L600" s="5" t="inlineStr">
        <is>
          <t>Todas las pruebas del archivo pasan</t>
        </is>
      </c>
      <c r="M600" s="5" t="inlineStr">
        <is>
          <t>4/4 pasan</t>
        </is>
      </c>
      <c r="N600" s="7" t="inlineStr">
        <is>
          <t>Aprobado</t>
        </is>
      </c>
      <c r="O600" s="5" t="inlineStr">
        <is>
          <t>2026-10-27</t>
        </is>
      </c>
      <c r="P600" s="5" t="inlineStr">
        <is>
          <t>docs/evidencia-final-equipo/vitest-backend.json</t>
        </is>
      </c>
      <c r="Q600" s="5" t="inlineStr">
        <is>
          <t>-</t>
        </is>
      </c>
    </row>
    <row r="601">
      <c r="A601" s="5" t="inlineStr">
        <is>
          <t>Equipo</t>
        </is>
      </c>
      <c r="B601" s="5" t="inlineStr">
        <is>
          <t>Otros</t>
        </is>
      </c>
      <c r="C601" s="5" t="inlineStr">
        <is>
          <t>OTROS</t>
        </is>
      </c>
      <c r="D601" s="5" t="inlineStr">
        <is>
          <t>Otros módulos (transferencias, solicitudes, notificaciones, pagos, cuentas, UX)</t>
        </is>
      </c>
      <c r="E601" s="5" t="inlineStr">
        <is>
          <t>Vitest backend · regresión</t>
        </is>
      </c>
      <c r="F601" s="5" t="inlineStr">
        <is>
          <t>VT-account.regression.test</t>
        </is>
      </c>
      <c r="G601" s="5" t="inlineStr">
        <is>
          <t>account.regression.test.ts (4 pruebas)</t>
        </is>
      </c>
      <c r="H601" s="5" t="inlineStr">
        <is>
          <t>Unitaria / Integración</t>
        </is>
      </c>
      <c r="I601" s="5" t="inlineStr">
        <is>
          <t>Funcional</t>
        </is>
      </c>
      <c r="J601" s="5" t="inlineStr">
        <is>
          <t>Vitest backend</t>
        </is>
      </c>
      <c r="K601" s="5" t="inlineStr">
        <is>
          <t>backend/src/tests/regression/account.regression.test.ts</t>
        </is>
      </c>
      <c r="L601" s="5" t="inlineStr">
        <is>
          <t>Todas las pruebas del archivo pasan</t>
        </is>
      </c>
      <c r="M601" s="5" t="inlineStr">
        <is>
          <t>4/4 pasan</t>
        </is>
      </c>
      <c r="N601" s="7" t="inlineStr">
        <is>
          <t>Aprobado</t>
        </is>
      </c>
      <c r="O601" s="5" t="inlineStr">
        <is>
          <t>2026-10-27</t>
        </is>
      </c>
      <c r="P601" s="5" t="inlineStr">
        <is>
          <t>docs/evidencia-final-equipo/vitest-backend.json</t>
        </is>
      </c>
      <c r="Q601" s="5" t="inlineStr">
        <is>
          <t>-</t>
        </is>
      </c>
    </row>
    <row r="602">
      <c r="A602" s="5" t="inlineStr">
        <is>
          <t>Equipo</t>
        </is>
      </c>
      <c r="B602" s="5" t="inlineStr">
        <is>
          <t>Otros</t>
        </is>
      </c>
      <c r="C602" s="5" t="inlineStr">
        <is>
          <t>OTROS</t>
        </is>
      </c>
      <c r="D602" s="5" t="inlineStr">
        <is>
          <t>Otros módulos (transferencias, solicitudes, notificaciones, pagos, cuentas, UX)</t>
        </is>
      </c>
      <c r="E602" s="5" t="inlineStr">
        <is>
          <t>Vitest backend · seguridad</t>
        </is>
      </c>
      <c r="F602" s="5" t="inlineStr">
        <is>
          <t>VT-account.security.test</t>
        </is>
      </c>
      <c r="G602" s="5" t="inlineStr">
        <is>
          <t>account.security.test.ts (3 pruebas)</t>
        </is>
      </c>
      <c r="H602" s="5" t="inlineStr">
        <is>
          <t>Unitaria / Integración</t>
        </is>
      </c>
      <c r="I602" s="5" t="inlineStr">
        <is>
          <t>Seguridad</t>
        </is>
      </c>
      <c r="J602" s="5" t="inlineStr">
        <is>
          <t>Vitest backend</t>
        </is>
      </c>
      <c r="K602" s="5" t="inlineStr">
        <is>
          <t>backend/src/tests/security/account.security.test.ts</t>
        </is>
      </c>
      <c r="L602" s="5" t="inlineStr">
        <is>
          <t>Todas las pruebas del archivo pasan</t>
        </is>
      </c>
      <c r="M602" s="5" t="inlineStr">
        <is>
          <t>3/3 pasan</t>
        </is>
      </c>
      <c r="N602" s="7" t="inlineStr">
        <is>
          <t>Aprobado</t>
        </is>
      </c>
      <c r="O602" s="5" t="inlineStr">
        <is>
          <t>2026-10-27</t>
        </is>
      </c>
      <c r="P602" s="5" t="inlineStr">
        <is>
          <t>docs/evidencia-final-equipo/vitest-backend.json</t>
        </is>
      </c>
      <c r="Q602" s="5" t="inlineStr">
        <is>
          <t>-</t>
        </is>
      </c>
    </row>
    <row r="603">
      <c r="A603" s="5" t="inlineStr">
        <is>
          <t>Equipo</t>
        </is>
      </c>
      <c r="B603" s="5" t="inlineStr">
        <is>
          <t>Otros</t>
        </is>
      </c>
      <c r="C603" s="5" t="inlineStr">
        <is>
          <t>OTROS</t>
        </is>
      </c>
      <c r="D603" s="5" t="inlineStr">
        <is>
          <t>Otros módulos (transferencias, solicitudes, notificaciones, pagos, cuentas, UX)</t>
        </is>
      </c>
      <c r="E603" s="5" t="inlineStr">
        <is>
          <t>Vitest backend · unitaria</t>
        </is>
      </c>
      <c r="F603" s="5" t="inlineStr">
        <is>
          <t>VT-emailValidation.test</t>
        </is>
      </c>
      <c r="G603" s="5" t="inlineStr">
        <is>
          <t>emailValidation.test.ts (7 pruebas)</t>
        </is>
      </c>
      <c r="H603" s="5" t="inlineStr">
        <is>
          <t>Unitaria / Integración</t>
        </is>
      </c>
      <c r="I603" s="5" t="inlineStr">
        <is>
          <t>Funcional</t>
        </is>
      </c>
      <c r="J603" s="5" t="inlineStr">
        <is>
          <t>Vitest backend</t>
        </is>
      </c>
      <c r="K603" s="5" t="inlineStr">
        <is>
          <t>backend/src/tests/unit/emailValidation.test.ts</t>
        </is>
      </c>
      <c r="L603" s="5" t="inlineStr">
        <is>
          <t>Todas las pruebas del archivo pasan</t>
        </is>
      </c>
      <c r="M603" s="5" t="inlineStr">
        <is>
          <t>7/7 pasan</t>
        </is>
      </c>
      <c r="N603" s="7" t="inlineStr">
        <is>
          <t>Aprobado</t>
        </is>
      </c>
      <c r="O603" s="5" t="inlineStr">
        <is>
          <t>2026-10-27</t>
        </is>
      </c>
      <c r="P603" s="5" t="inlineStr">
        <is>
          <t>docs/evidencia-final-equipo/vitest-backend.json</t>
        </is>
      </c>
      <c r="Q603" s="5" t="inlineStr">
        <is>
          <t>-</t>
        </is>
      </c>
    </row>
    <row r="604">
      <c r="A604" s="5" t="inlineStr">
        <is>
          <t>Equipo</t>
        </is>
      </c>
      <c r="B604" s="5" t="inlineStr">
        <is>
          <t>Otros</t>
        </is>
      </c>
      <c r="C604" s="5" t="inlineStr">
        <is>
          <t>OTROS</t>
        </is>
      </c>
      <c r="D604" s="5" t="inlineStr">
        <is>
          <t>Otros módulos (transferencias, solicitudes, notificaciones, pagos, cuentas, UX)</t>
        </is>
      </c>
      <c r="E604" s="5" t="inlineStr">
        <is>
          <t>Vitest backend · API</t>
        </is>
      </c>
      <c r="F604" s="5" t="inlineStr">
        <is>
          <t>VT-moneyRequest.api.test</t>
        </is>
      </c>
      <c r="G604" s="5" t="inlineStr">
        <is>
          <t>moneyRequest.api.test.ts (3 pruebas)</t>
        </is>
      </c>
      <c r="H604" s="5" t="inlineStr">
        <is>
          <t>Unitaria / Integración</t>
        </is>
      </c>
      <c r="I604" s="5" t="inlineStr">
        <is>
          <t>Funcional</t>
        </is>
      </c>
      <c r="J604" s="5" t="inlineStr">
        <is>
          <t>Vitest backend</t>
        </is>
      </c>
      <c r="K604" s="5" t="inlineStr">
        <is>
          <t>backend/src/tests/api/moneyRequest.api.test.ts</t>
        </is>
      </c>
      <c r="L604" s="5" t="inlineStr">
        <is>
          <t>Todas las pruebas del archivo pasan</t>
        </is>
      </c>
      <c r="M604" s="5" t="inlineStr">
        <is>
          <t>3/3 pasan</t>
        </is>
      </c>
      <c r="N604" s="7" t="inlineStr">
        <is>
          <t>Aprobado</t>
        </is>
      </c>
      <c r="O604" s="5" t="inlineStr">
        <is>
          <t>2026-10-27</t>
        </is>
      </c>
      <c r="P604" s="5" t="inlineStr">
        <is>
          <t>docs/evidencia-final-equipo/vitest-backend.json</t>
        </is>
      </c>
      <c r="Q604" s="5" t="inlineStr">
        <is>
          <t>-</t>
        </is>
      </c>
    </row>
    <row r="605">
      <c r="A605" s="5" t="inlineStr">
        <is>
          <t>Equipo</t>
        </is>
      </c>
      <c r="B605" s="5" t="inlineStr">
        <is>
          <t>Otros</t>
        </is>
      </c>
      <c r="C605" s="5" t="inlineStr">
        <is>
          <t>OTROS</t>
        </is>
      </c>
      <c r="D605" s="5" t="inlineStr">
        <is>
          <t>Otros módulos (transferencias, solicitudes, notificaciones, pagos, cuentas, UX)</t>
        </is>
      </c>
      <c r="E605" s="5" t="inlineStr">
        <is>
          <t>Vitest backend · regresión</t>
        </is>
      </c>
      <c r="F605" s="5" t="inlineStr">
        <is>
          <t>VT-moneyRequest.regression.test</t>
        </is>
      </c>
      <c r="G605" s="5" t="inlineStr">
        <is>
          <t>moneyRequest.regression.test.ts (3 pruebas)</t>
        </is>
      </c>
      <c r="H605" s="5" t="inlineStr">
        <is>
          <t>Unitaria / Integración</t>
        </is>
      </c>
      <c r="I605" s="5" t="inlineStr">
        <is>
          <t>Funcional</t>
        </is>
      </c>
      <c r="J605" s="5" t="inlineStr">
        <is>
          <t>Vitest backend</t>
        </is>
      </c>
      <c r="K605" s="5" t="inlineStr">
        <is>
          <t>backend/src/tests/regression/moneyRequest.regression.test.ts</t>
        </is>
      </c>
      <c r="L605" s="5" t="inlineStr">
        <is>
          <t>Todas las pruebas del archivo pasan</t>
        </is>
      </c>
      <c r="M605" s="5" t="inlineStr">
        <is>
          <t>3/3 pasan</t>
        </is>
      </c>
      <c r="N605" s="7" t="inlineStr">
        <is>
          <t>Aprobado</t>
        </is>
      </c>
      <c r="O605" s="5" t="inlineStr">
        <is>
          <t>2026-10-27</t>
        </is>
      </c>
      <c r="P605" s="5" t="inlineStr">
        <is>
          <t>docs/evidencia-final-equipo/vitest-backend.json</t>
        </is>
      </c>
      <c r="Q605" s="5" t="inlineStr">
        <is>
          <t>-</t>
        </is>
      </c>
    </row>
    <row r="606">
      <c r="A606" s="5" t="inlineStr">
        <is>
          <t>Equipo</t>
        </is>
      </c>
      <c r="B606" s="5" t="inlineStr">
        <is>
          <t>Otros</t>
        </is>
      </c>
      <c r="C606" s="5" t="inlineStr">
        <is>
          <t>OTROS</t>
        </is>
      </c>
      <c r="D606" s="5" t="inlineStr">
        <is>
          <t>Otros módulos (transferencias, solicitudes, notificaciones, pagos, cuentas, UX)</t>
        </is>
      </c>
      <c r="E606" s="5" t="inlineStr">
        <is>
          <t>Vitest backend · seguridad</t>
        </is>
      </c>
      <c r="F606" s="5" t="inlineStr">
        <is>
          <t>VT-moneyRequest.security.test</t>
        </is>
      </c>
      <c r="G606" s="5" t="inlineStr">
        <is>
          <t>moneyRequest.security.test.ts (4 pruebas)</t>
        </is>
      </c>
      <c r="H606" s="5" t="inlineStr">
        <is>
          <t>Unitaria / Integración</t>
        </is>
      </c>
      <c r="I606" s="5" t="inlineStr">
        <is>
          <t>Seguridad</t>
        </is>
      </c>
      <c r="J606" s="5" t="inlineStr">
        <is>
          <t>Vitest backend</t>
        </is>
      </c>
      <c r="K606" s="5" t="inlineStr">
        <is>
          <t>backend/src/tests/security/moneyRequest.security.test.ts</t>
        </is>
      </c>
      <c r="L606" s="5" t="inlineStr">
        <is>
          <t>Todas las pruebas del archivo pasan</t>
        </is>
      </c>
      <c r="M606" s="5" t="inlineStr">
        <is>
          <t>4/4 pasan</t>
        </is>
      </c>
      <c r="N606" s="7" t="inlineStr">
        <is>
          <t>Aprobado</t>
        </is>
      </c>
      <c r="O606" s="5" t="inlineStr">
        <is>
          <t>2026-10-27</t>
        </is>
      </c>
      <c r="P606" s="5" t="inlineStr">
        <is>
          <t>docs/evidencia-final-equipo/vitest-backend.json</t>
        </is>
      </c>
      <c r="Q606" s="5" t="inlineStr">
        <is>
          <t>-</t>
        </is>
      </c>
    </row>
    <row r="607">
      <c r="A607" s="5" t="inlineStr">
        <is>
          <t>Equipo</t>
        </is>
      </c>
      <c r="B607" s="5" t="inlineStr">
        <is>
          <t>Otros</t>
        </is>
      </c>
      <c r="C607" s="5" t="inlineStr">
        <is>
          <t>OTROS</t>
        </is>
      </c>
      <c r="D607" s="5" t="inlineStr">
        <is>
          <t>Otros módulos (transferencias, solicitudes, notificaciones, pagos, cuentas, UX)</t>
        </is>
      </c>
      <c r="E607" s="5" t="inlineStr">
        <is>
          <t>Vitest backend · unitaria</t>
        </is>
      </c>
      <c r="F607" s="5" t="inlineStr">
        <is>
          <t>VT-nameValidation.test</t>
        </is>
      </c>
      <c r="G607" s="5" t="inlineStr">
        <is>
          <t>nameValidation.test.ts (19 pruebas)</t>
        </is>
      </c>
      <c r="H607" s="5" t="inlineStr">
        <is>
          <t>Unitaria / Integración</t>
        </is>
      </c>
      <c r="I607" s="5" t="inlineStr">
        <is>
          <t>Funcional</t>
        </is>
      </c>
      <c r="J607" s="5" t="inlineStr">
        <is>
          <t>Vitest backend</t>
        </is>
      </c>
      <c r="K607" s="5" t="inlineStr">
        <is>
          <t>backend/src/tests/unit/shared/nameValidation.test.ts</t>
        </is>
      </c>
      <c r="L607" s="5" t="inlineStr">
        <is>
          <t>Todas las pruebas del archivo pasan</t>
        </is>
      </c>
      <c r="M607" s="5" t="inlineStr">
        <is>
          <t>19/19 pasan</t>
        </is>
      </c>
      <c r="N607" s="7" t="inlineStr">
        <is>
          <t>Aprobado</t>
        </is>
      </c>
      <c r="O607" s="5" t="inlineStr">
        <is>
          <t>2026-10-27</t>
        </is>
      </c>
      <c r="P607" s="5" t="inlineStr">
        <is>
          <t>docs/evidencia-final-equipo/vitest-backend.json</t>
        </is>
      </c>
      <c r="Q607" s="5" t="inlineStr">
        <is>
          <t>-</t>
        </is>
      </c>
    </row>
    <row r="608">
      <c r="A608" s="5" t="inlineStr">
        <is>
          <t>Equipo</t>
        </is>
      </c>
      <c r="B608" s="5" t="inlineStr">
        <is>
          <t>Otros</t>
        </is>
      </c>
      <c r="C608" s="5" t="inlineStr">
        <is>
          <t>OTROS</t>
        </is>
      </c>
      <c r="D608" s="5" t="inlineStr">
        <is>
          <t>Otros módulos (transferencias, solicitudes, notificaciones, pagos, cuentas, UX)</t>
        </is>
      </c>
      <c r="E608" s="5" t="inlineStr">
        <is>
          <t>Vitest backend · API</t>
        </is>
      </c>
      <c r="F608" s="5" t="inlineStr">
        <is>
          <t>VT-notification.api.test</t>
        </is>
      </c>
      <c r="G608" s="5" t="inlineStr">
        <is>
          <t>notification.api.test.ts (2 pruebas)</t>
        </is>
      </c>
      <c r="H608" s="5" t="inlineStr">
        <is>
          <t>Unitaria / Integración</t>
        </is>
      </c>
      <c r="I608" s="5" t="inlineStr">
        <is>
          <t>Funcional</t>
        </is>
      </c>
      <c r="J608" s="5" t="inlineStr">
        <is>
          <t>Vitest backend</t>
        </is>
      </c>
      <c r="K608" s="5" t="inlineStr">
        <is>
          <t>backend/src/tests/api/notification.api.test.ts</t>
        </is>
      </c>
      <c r="L608" s="5" t="inlineStr">
        <is>
          <t>Todas las pruebas del archivo pasan</t>
        </is>
      </c>
      <c r="M608" s="5" t="inlineStr">
        <is>
          <t>2/2 pasan</t>
        </is>
      </c>
      <c r="N608" s="7" t="inlineStr">
        <is>
          <t>Aprobado</t>
        </is>
      </c>
      <c r="O608" s="5" t="inlineStr">
        <is>
          <t>2026-10-27</t>
        </is>
      </c>
      <c r="P608" s="5" t="inlineStr">
        <is>
          <t>docs/evidencia-final-equipo/vitest-backend.json</t>
        </is>
      </c>
      <c r="Q608" s="5" t="inlineStr">
        <is>
          <t>-</t>
        </is>
      </c>
    </row>
    <row r="609">
      <c r="A609" s="5" t="inlineStr">
        <is>
          <t>Equipo</t>
        </is>
      </c>
      <c r="B609" s="5" t="inlineStr">
        <is>
          <t>Otros</t>
        </is>
      </c>
      <c r="C609" s="5" t="inlineStr">
        <is>
          <t>OTROS</t>
        </is>
      </c>
      <c r="D609" s="5" t="inlineStr">
        <is>
          <t>Otros módulos (transferencias, solicitudes, notificaciones, pagos, cuentas, UX)</t>
        </is>
      </c>
      <c r="E609" s="5" t="inlineStr">
        <is>
          <t>Vitest backend · regresión</t>
        </is>
      </c>
      <c r="F609" s="5" t="inlineStr">
        <is>
          <t>VT-notification.regression.test</t>
        </is>
      </c>
      <c r="G609" s="5" t="inlineStr">
        <is>
          <t>notification.regression.test.ts (2 pruebas)</t>
        </is>
      </c>
      <c r="H609" s="5" t="inlineStr">
        <is>
          <t>Unitaria / Integración</t>
        </is>
      </c>
      <c r="I609" s="5" t="inlineStr">
        <is>
          <t>Funcional</t>
        </is>
      </c>
      <c r="J609" s="5" t="inlineStr">
        <is>
          <t>Vitest backend</t>
        </is>
      </c>
      <c r="K609" s="5" t="inlineStr">
        <is>
          <t>backend/src/tests/regression/notification.regression.test.ts</t>
        </is>
      </c>
      <c r="L609" s="5" t="inlineStr">
        <is>
          <t>Todas las pruebas del archivo pasan</t>
        </is>
      </c>
      <c r="M609" s="5" t="inlineStr">
        <is>
          <t>2/2 pasan</t>
        </is>
      </c>
      <c r="N609" s="7" t="inlineStr">
        <is>
          <t>Aprobado</t>
        </is>
      </c>
      <c r="O609" s="5" t="inlineStr">
        <is>
          <t>2026-10-27</t>
        </is>
      </c>
      <c r="P609" s="5" t="inlineStr">
        <is>
          <t>docs/evidencia-final-equipo/vitest-backend.json</t>
        </is>
      </c>
      <c r="Q609" s="5" t="inlineStr">
        <is>
          <t>-</t>
        </is>
      </c>
    </row>
    <row r="610">
      <c r="A610" s="5" t="inlineStr">
        <is>
          <t>Equipo</t>
        </is>
      </c>
      <c r="B610" s="5" t="inlineStr">
        <is>
          <t>Otros</t>
        </is>
      </c>
      <c r="C610" s="5" t="inlineStr">
        <is>
          <t>OTROS</t>
        </is>
      </c>
      <c r="D610" s="5" t="inlineStr">
        <is>
          <t>Otros módulos (transferencias, solicitudes, notificaciones, pagos, cuentas, UX)</t>
        </is>
      </c>
      <c r="E610" s="5" t="inlineStr">
        <is>
          <t>Vitest backend · seguridad</t>
        </is>
      </c>
      <c r="F610" s="5" t="inlineStr">
        <is>
          <t>VT-notification.security.test</t>
        </is>
      </c>
      <c r="G610" s="5" t="inlineStr">
        <is>
          <t>notification.security.test.ts (4 pruebas)</t>
        </is>
      </c>
      <c r="H610" s="5" t="inlineStr">
        <is>
          <t>Unitaria / Integración</t>
        </is>
      </c>
      <c r="I610" s="5" t="inlineStr">
        <is>
          <t>Seguridad</t>
        </is>
      </c>
      <c r="J610" s="5" t="inlineStr">
        <is>
          <t>Vitest backend</t>
        </is>
      </c>
      <c r="K610" s="5" t="inlineStr">
        <is>
          <t>backend/src/tests/security/notification.security.test.ts</t>
        </is>
      </c>
      <c r="L610" s="5" t="inlineStr">
        <is>
          <t>Todas las pruebas del archivo pasan</t>
        </is>
      </c>
      <c r="M610" s="5" t="inlineStr">
        <is>
          <t>4/4 pasan</t>
        </is>
      </c>
      <c r="N610" s="7" t="inlineStr">
        <is>
          <t>Aprobado</t>
        </is>
      </c>
      <c r="O610" s="5" t="inlineStr">
        <is>
          <t>2026-10-27</t>
        </is>
      </c>
      <c r="P610" s="5" t="inlineStr">
        <is>
          <t>docs/evidencia-final-equipo/vitest-backend.json</t>
        </is>
      </c>
      <c r="Q610" s="5" t="inlineStr">
        <is>
          <t>-</t>
        </is>
      </c>
    </row>
    <row r="611">
      <c r="A611" s="5" t="inlineStr">
        <is>
          <t>Equipo</t>
        </is>
      </c>
      <c r="B611" s="5" t="inlineStr">
        <is>
          <t>Otros</t>
        </is>
      </c>
      <c r="C611" s="5" t="inlineStr">
        <is>
          <t>OTROS</t>
        </is>
      </c>
      <c r="D611" s="5" t="inlineStr">
        <is>
          <t>Otros módulos (transferencias, solicitudes, notificaciones, pagos, cuentas, UX)</t>
        </is>
      </c>
      <c r="E611" s="5" t="inlineStr">
        <is>
          <t>Vitest backend · API</t>
        </is>
      </c>
      <c r="F611" s="5" t="inlineStr">
        <is>
          <t>VT-payment.api.test</t>
        </is>
      </c>
      <c r="G611" s="5" t="inlineStr">
        <is>
          <t>payment.api.test.ts (2 pruebas)</t>
        </is>
      </c>
      <c r="H611" s="5" t="inlineStr">
        <is>
          <t>Unitaria / Integración</t>
        </is>
      </c>
      <c r="I611" s="5" t="inlineStr">
        <is>
          <t>Funcional</t>
        </is>
      </c>
      <c r="J611" s="5" t="inlineStr">
        <is>
          <t>Vitest backend</t>
        </is>
      </c>
      <c r="K611" s="5" t="inlineStr">
        <is>
          <t>backend/src/tests/api/payment.api.test.ts</t>
        </is>
      </c>
      <c r="L611" s="5" t="inlineStr">
        <is>
          <t>Todas las pruebas del archivo pasan</t>
        </is>
      </c>
      <c r="M611" s="5" t="inlineStr">
        <is>
          <t>2/2 pasan</t>
        </is>
      </c>
      <c r="N611" s="7" t="inlineStr">
        <is>
          <t>Aprobado</t>
        </is>
      </c>
      <c r="O611" s="5" t="inlineStr">
        <is>
          <t>2026-10-27</t>
        </is>
      </c>
      <c r="P611" s="5" t="inlineStr">
        <is>
          <t>docs/evidencia-final-equipo/vitest-backend.json</t>
        </is>
      </c>
      <c r="Q611" s="5" t="inlineStr">
        <is>
          <t>-</t>
        </is>
      </c>
    </row>
    <row r="612">
      <c r="A612" s="5" t="inlineStr">
        <is>
          <t>Equipo</t>
        </is>
      </c>
      <c r="B612" s="5" t="inlineStr">
        <is>
          <t>Otros</t>
        </is>
      </c>
      <c r="C612" s="5" t="inlineStr">
        <is>
          <t>OTROS</t>
        </is>
      </c>
      <c r="D612" s="5" t="inlineStr">
        <is>
          <t>Otros módulos (transferencias, solicitudes, notificaciones, pagos, cuentas, UX)</t>
        </is>
      </c>
      <c r="E612" s="5" t="inlineStr">
        <is>
          <t>Vitest backend · regresión</t>
        </is>
      </c>
      <c r="F612" s="5" t="inlineStr">
        <is>
          <t>VT-payment.regression.test</t>
        </is>
      </c>
      <c r="G612" s="5" t="inlineStr">
        <is>
          <t>payment.regression.test.ts (2 pruebas)</t>
        </is>
      </c>
      <c r="H612" s="5" t="inlineStr">
        <is>
          <t>Unitaria / Integración</t>
        </is>
      </c>
      <c r="I612" s="5" t="inlineStr">
        <is>
          <t>Funcional</t>
        </is>
      </c>
      <c r="J612" s="5" t="inlineStr">
        <is>
          <t>Vitest backend</t>
        </is>
      </c>
      <c r="K612" s="5" t="inlineStr">
        <is>
          <t>backend/src/tests/regression/payment.regression.test.ts</t>
        </is>
      </c>
      <c r="L612" s="5" t="inlineStr">
        <is>
          <t>Todas las pruebas del archivo pasan</t>
        </is>
      </c>
      <c r="M612" s="5" t="inlineStr">
        <is>
          <t>2/2 pasan</t>
        </is>
      </c>
      <c r="N612" s="7" t="inlineStr">
        <is>
          <t>Aprobado</t>
        </is>
      </c>
      <c r="O612" s="5" t="inlineStr">
        <is>
          <t>2026-10-27</t>
        </is>
      </c>
      <c r="P612" s="5" t="inlineStr">
        <is>
          <t>docs/evidencia-final-equipo/vitest-backend.json</t>
        </is>
      </c>
      <c r="Q612" s="5" t="inlineStr">
        <is>
          <t>-</t>
        </is>
      </c>
    </row>
    <row r="613">
      <c r="A613" s="5" t="inlineStr">
        <is>
          <t>Equipo</t>
        </is>
      </c>
      <c r="B613" s="5" t="inlineStr">
        <is>
          <t>Otros</t>
        </is>
      </c>
      <c r="C613" s="5" t="inlineStr">
        <is>
          <t>OTROS</t>
        </is>
      </c>
      <c r="D613" s="5" t="inlineStr">
        <is>
          <t>Otros módulos (transferencias, solicitudes, notificaciones, pagos, cuentas, UX)</t>
        </is>
      </c>
      <c r="E613" s="5" t="inlineStr">
        <is>
          <t>Vitest backend · seguridad</t>
        </is>
      </c>
      <c r="F613" s="5" t="inlineStr">
        <is>
          <t>VT-payment.security.test</t>
        </is>
      </c>
      <c r="G613" s="5" t="inlineStr">
        <is>
          <t>payment.security.test.ts (3 pruebas)</t>
        </is>
      </c>
      <c r="H613" s="5" t="inlineStr">
        <is>
          <t>Unitaria / Integración</t>
        </is>
      </c>
      <c r="I613" s="5" t="inlineStr">
        <is>
          <t>Seguridad</t>
        </is>
      </c>
      <c r="J613" s="5" t="inlineStr">
        <is>
          <t>Vitest backend</t>
        </is>
      </c>
      <c r="K613" s="5" t="inlineStr">
        <is>
          <t>backend/src/tests/security/payment.security.test.ts</t>
        </is>
      </c>
      <c r="L613" s="5" t="inlineStr">
        <is>
          <t>Todas las pruebas del archivo pasan</t>
        </is>
      </c>
      <c r="M613" s="5" t="inlineStr">
        <is>
          <t>3/3 pasan</t>
        </is>
      </c>
      <c r="N613" s="7" t="inlineStr">
        <is>
          <t>Aprobado</t>
        </is>
      </c>
      <c r="O613" s="5" t="inlineStr">
        <is>
          <t>2026-10-27</t>
        </is>
      </c>
      <c r="P613" s="5" t="inlineStr">
        <is>
          <t>docs/evidencia-final-equipo/vitest-backend.json</t>
        </is>
      </c>
      <c r="Q613" s="5" t="inlineStr">
        <is>
          <t>-</t>
        </is>
      </c>
    </row>
    <row r="614">
      <c r="A614" s="5" t="inlineStr">
        <is>
          <t>Equipo</t>
        </is>
      </c>
      <c r="B614" s="5" t="inlineStr">
        <is>
          <t>Otros</t>
        </is>
      </c>
      <c r="C614" s="5" t="inlineStr">
        <is>
          <t>OTROS</t>
        </is>
      </c>
      <c r="D614" s="5" t="inlineStr">
        <is>
          <t>Otros módulos (transferencias, solicitudes, notificaciones, pagos, cuentas, UX)</t>
        </is>
      </c>
      <c r="E614" s="5" t="inlineStr">
        <is>
          <t>Vitest backend · unitaria</t>
        </is>
      </c>
      <c r="F614" s="5" t="inlineStr">
        <is>
          <t>VT-rateLimiter.test</t>
        </is>
      </c>
      <c r="G614" s="5" t="inlineStr">
        <is>
          <t>rateLimiter.test.ts (4 pruebas)</t>
        </is>
      </c>
      <c r="H614" s="5" t="inlineStr">
        <is>
          <t>Unitaria / Integración</t>
        </is>
      </c>
      <c r="I614" s="5" t="inlineStr">
        <is>
          <t>Funcional</t>
        </is>
      </c>
      <c r="J614" s="5" t="inlineStr">
        <is>
          <t>Vitest backend</t>
        </is>
      </c>
      <c r="K614" s="5" t="inlineStr">
        <is>
          <t>backend/src/tests/unit/rateLimiter.test.ts</t>
        </is>
      </c>
      <c r="L614" s="5" t="inlineStr">
        <is>
          <t>Todas las pruebas del archivo pasan</t>
        </is>
      </c>
      <c r="M614" s="5" t="inlineStr">
        <is>
          <t>4/4 pasan</t>
        </is>
      </c>
      <c r="N614" s="7" t="inlineStr">
        <is>
          <t>Aprobado</t>
        </is>
      </c>
      <c r="O614" s="5" t="inlineStr">
        <is>
          <t>2026-10-27</t>
        </is>
      </c>
      <c r="P614" s="5" t="inlineStr">
        <is>
          <t>docs/evidencia-final-equipo/vitest-backend.json</t>
        </is>
      </c>
      <c r="Q614" s="5" t="inlineStr">
        <is>
          <t>-</t>
        </is>
      </c>
    </row>
    <row r="615">
      <c r="A615" s="5" t="inlineStr">
        <is>
          <t>Equipo</t>
        </is>
      </c>
      <c r="B615" s="5" t="inlineStr">
        <is>
          <t>Otros</t>
        </is>
      </c>
      <c r="C615" s="5" t="inlineStr">
        <is>
          <t>OTROS</t>
        </is>
      </c>
      <c r="D615" s="5" t="inlineStr">
        <is>
          <t>Otros módulos (transferencias, solicitudes, notificaciones, pagos, cuentas, UX)</t>
        </is>
      </c>
      <c r="E615" s="5" t="inlineStr">
        <is>
          <t>Vitest backend · API</t>
        </is>
      </c>
      <c r="F615" s="5" t="inlineStr">
        <is>
          <t>VT-transfer.api.test</t>
        </is>
      </c>
      <c r="G615" s="5" t="inlineStr">
        <is>
          <t>transfer.api.test.ts (2 pruebas)</t>
        </is>
      </c>
      <c r="H615" s="5" t="inlineStr">
        <is>
          <t>Unitaria / Integración</t>
        </is>
      </c>
      <c r="I615" s="5" t="inlineStr">
        <is>
          <t>Funcional</t>
        </is>
      </c>
      <c r="J615" s="5" t="inlineStr">
        <is>
          <t>Vitest backend</t>
        </is>
      </c>
      <c r="K615" s="5" t="inlineStr">
        <is>
          <t>backend/src/tests/api/transfer.api.test.ts</t>
        </is>
      </c>
      <c r="L615" s="5" t="inlineStr">
        <is>
          <t>Todas las pruebas del archivo pasan</t>
        </is>
      </c>
      <c r="M615" s="5" t="inlineStr">
        <is>
          <t>2/2 pasan</t>
        </is>
      </c>
      <c r="N615" s="7" t="inlineStr">
        <is>
          <t>Aprobado</t>
        </is>
      </c>
      <c r="O615" s="5" t="inlineStr">
        <is>
          <t>2026-10-27</t>
        </is>
      </c>
      <c r="P615" s="5" t="inlineStr">
        <is>
          <t>docs/evidencia-final-equipo/vitest-backend.json</t>
        </is>
      </c>
      <c r="Q615" s="5" t="inlineStr">
        <is>
          <t>-</t>
        </is>
      </c>
    </row>
    <row r="616">
      <c r="A616" s="5" t="inlineStr">
        <is>
          <t>Equipo</t>
        </is>
      </c>
      <c r="B616" s="5" t="inlineStr">
        <is>
          <t>Otros</t>
        </is>
      </c>
      <c r="C616" s="5" t="inlineStr">
        <is>
          <t>OTROS</t>
        </is>
      </c>
      <c r="D616" s="5" t="inlineStr">
        <is>
          <t>Otros módulos (transferencias, solicitudes, notificaciones, pagos, cuentas, UX)</t>
        </is>
      </c>
      <c r="E616" s="5" t="inlineStr">
        <is>
          <t>Vitest backend · regresión</t>
        </is>
      </c>
      <c r="F616" s="5" t="inlineStr">
        <is>
          <t>VT-transfer.regression.test</t>
        </is>
      </c>
      <c r="G616" s="5" t="inlineStr">
        <is>
          <t>transfer.regression.test.ts (2 pruebas)</t>
        </is>
      </c>
      <c r="H616" s="5" t="inlineStr">
        <is>
          <t>Unitaria / Integración</t>
        </is>
      </c>
      <c r="I616" s="5" t="inlineStr">
        <is>
          <t>Funcional</t>
        </is>
      </c>
      <c r="J616" s="5" t="inlineStr">
        <is>
          <t>Vitest backend</t>
        </is>
      </c>
      <c r="K616" s="5" t="inlineStr">
        <is>
          <t>backend/src/tests/regression/transfer.regression.test.ts</t>
        </is>
      </c>
      <c r="L616" s="5" t="inlineStr">
        <is>
          <t>Todas las pruebas del archivo pasan</t>
        </is>
      </c>
      <c r="M616" s="5" t="inlineStr">
        <is>
          <t>2/2 pasan</t>
        </is>
      </c>
      <c r="N616" s="7" t="inlineStr">
        <is>
          <t>Aprobado</t>
        </is>
      </c>
      <c r="O616" s="5" t="inlineStr">
        <is>
          <t>2026-10-27</t>
        </is>
      </c>
      <c r="P616" s="5" t="inlineStr">
        <is>
          <t>docs/evidencia-final-equipo/vitest-backend.json</t>
        </is>
      </c>
      <c r="Q616" s="5" t="inlineStr">
        <is>
          <t>-</t>
        </is>
      </c>
    </row>
    <row r="617">
      <c r="A617" s="5" t="inlineStr">
        <is>
          <t>Equipo</t>
        </is>
      </c>
      <c r="B617" s="5" t="inlineStr">
        <is>
          <t>Otros</t>
        </is>
      </c>
      <c r="C617" s="5" t="inlineStr">
        <is>
          <t>OTROS</t>
        </is>
      </c>
      <c r="D617" s="5" t="inlineStr">
        <is>
          <t>Otros módulos (transferencias, solicitudes, notificaciones, pagos, cuentas, UX)</t>
        </is>
      </c>
      <c r="E617" s="5" t="inlineStr">
        <is>
          <t>Vitest backend · seguridad</t>
        </is>
      </c>
      <c r="F617" s="5" t="inlineStr">
        <is>
          <t>VT-transfer.security.test</t>
        </is>
      </c>
      <c r="G617" s="5" t="inlineStr">
        <is>
          <t>transfer.security.test.ts (4 pruebas)</t>
        </is>
      </c>
      <c r="H617" s="5" t="inlineStr">
        <is>
          <t>Unitaria / Integración</t>
        </is>
      </c>
      <c r="I617" s="5" t="inlineStr">
        <is>
          <t>Seguridad</t>
        </is>
      </c>
      <c r="J617" s="5" t="inlineStr">
        <is>
          <t>Vitest backend</t>
        </is>
      </c>
      <c r="K617" s="5" t="inlineStr">
        <is>
          <t>backend/src/tests/security/transfer.security.test.ts</t>
        </is>
      </c>
      <c r="L617" s="5" t="inlineStr">
        <is>
          <t>Todas las pruebas del archivo pasan</t>
        </is>
      </c>
      <c r="M617" s="5" t="inlineStr">
        <is>
          <t>4/4 pasan</t>
        </is>
      </c>
      <c r="N617" s="7" t="inlineStr">
        <is>
          <t>Aprobado</t>
        </is>
      </c>
      <c r="O617" s="5" t="inlineStr">
        <is>
          <t>2026-10-27</t>
        </is>
      </c>
      <c r="P617" s="5" t="inlineStr">
        <is>
          <t>docs/evidencia-final-equipo/vitest-backend.json</t>
        </is>
      </c>
      <c r="Q617" s="5" t="inlineStr">
        <is>
          <t>-</t>
        </is>
      </c>
    </row>
    <row r="618">
      <c r="A618" s="5" t="inlineStr">
        <is>
          <t>Equipo</t>
        </is>
      </c>
      <c r="B618" s="5" t="inlineStr">
        <is>
          <t>Otros</t>
        </is>
      </c>
      <c r="C618" s="5" t="inlineStr">
        <is>
          <t>OTROS</t>
        </is>
      </c>
      <c r="D618" s="5" t="inlineStr">
        <is>
          <t>Otros módulos (transferencias, solicitudes, notificaciones, pagos, cuentas, UX)</t>
        </is>
      </c>
      <c r="E618" s="5" t="inlineStr">
        <is>
          <t>Vitest backend · unitaria</t>
        </is>
      </c>
      <c r="F618" s="5" t="inlineStr">
        <is>
          <t>VT-value-objects.test</t>
        </is>
      </c>
      <c r="G618" s="5" t="inlineStr">
        <is>
          <t>value-objects.test.ts (8 pruebas)</t>
        </is>
      </c>
      <c r="H618" s="5" t="inlineStr">
        <is>
          <t>Unitaria / Integración</t>
        </is>
      </c>
      <c r="I618" s="5" t="inlineStr">
        <is>
          <t>Funcional</t>
        </is>
      </c>
      <c r="J618" s="5" t="inlineStr">
        <is>
          <t>Vitest backend</t>
        </is>
      </c>
      <c r="K618" s="5" t="inlineStr">
        <is>
          <t>backend/src/tests/unit/shared/value-objects.test.ts</t>
        </is>
      </c>
      <c r="L618" s="5" t="inlineStr">
        <is>
          <t>Todas las pruebas del archivo pasan</t>
        </is>
      </c>
      <c r="M618" s="5" t="inlineStr">
        <is>
          <t>8/8 pasan</t>
        </is>
      </c>
      <c r="N618" s="7" t="inlineStr">
        <is>
          <t>Aprobado</t>
        </is>
      </c>
      <c r="O618" s="5" t="inlineStr">
        <is>
          <t>2026-10-27</t>
        </is>
      </c>
      <c r="P618" s="5" t="inlineStr">
        <is>
          <t>docs/evidencia-final-equipo/vitest-backend.json</t>
        </is>
      </c>
      <c r="Q618" s="5" t="inlineStr">
        <is>
          <t>-</t>
        </is>
      </c>
    </row>
    <row r="619">
      <c r="A619" s="5" t="inlineStr">
        <is>
          <t>Equipo</t>
        </is>
      </c>
      <c r="B619" s="5" t="inlineStr">
        <is>
          <t>Otros</t>
        </is>
      </c>
      <c r="C619" s="5" t="inlineStr">
        <is>
          <t>OTROS</t>
        </is>
      </c>
      <c r="D619" s="5" t="inlineStr">
        <is>
          <t>Otros módulos (transferencias, solicitudes, notificaciones, pagos, cuentas, UX)</t>
        </is>
      </c>
      <c r="E619" s="5" t="inlineStr">
        <is>
          <t>Vitest frontend · unitaria</t>
        </is>
      </c>
      <c r="F619" s="5" t="inlineStr">
        <is>
          <t>VT-account.service.test</t>
        </is>
      </c>
      <c r="G619" s="5" t="inlineStr">
        <is>
          <t>account.service.test.ts (6 pruebas)</t>
        </is>
      </c>
      <c r="H619" s="5" t="inlineStr">
        <is>
          <t>Unitaria / Integración</t>
        </is>
      </c>
      <c r="I619" s="5" t="inlineStr">
        <is>
          <t>Funcional</t>
        </is>
      </c>
      <c r="J619" s="5" t="inlineStr">
        <is>
          <t>Vitest frontend</t>
        </is>
      </c>
      <c r="K619" s="5" t="inlineStr">
        <is>
          <t>frontend/src/tests/unit/account/account.service.test.ts</t>
        </is>
      </c>
      <c r="L619" s="5" t="inlineStr">
        <is>
          <t>Todas las pruebas del archivo pasan</t>
        </is>
      </c>
      <c r="M619" s="5" t="inlineStr">
        <is>
          <t>6/6 pasan</t>
        </is>
      </c>
      <c r="N619" s="7" t="inlineStr">
        <is>
          <t>Aprobado</t>
        </is>
      </c>
      <c r="O619" s="5" t="inlineStr">
        <is>
          <t>2026-10-27</t>
        </is>
      </c>
      <c r="P619" s="5" t="inlineStr">
        <is>
          <t>docs/evidencia-final-equipo/vitest-frontend.json</t>
        </is>
      </c>
      <c r="Q619" s="5" t="inlineStr">
        <is>
          <t>-</t>
        </is>
      </c>
    </row>
    <row r="620">
      <c r="A620" s="5" t="inlineStr">
        <is>
          <t>Equipo</t>
        </is>
      </c>
      <c r="B620" s="5" t="inlineStr">
        <is>
          <t>Otros</t>
        </is>
      </c>
      <c r="C620" s="5" t="inlineStr">
        <is>
          <t>OTROS</t>
        </is>
      </c>
      <c r="D620" s="5" t="inlineStr">
        <is>
          <t>Otros módulos (transferencias, solicitudes, notificaciones, pagos, cuentas, UX)</t>
        </is>
      </c>
      <c r="E620" s="5" t="inlineStr">
        <is>
          <t>Vitest frontend · unitaria</t>
        </is>
      </c>
      <c r="F620" s="5" t="inlineStr">
        <is>
          <t>VT-account.service.test</t>
        </is>
      </c>
      <c r="G620" s="5" t="inlineStr">
        <is>
          <t>account.service.test.ts (6 pruebas)</t>
        </is>
      </c>
      <c r="H620" s="5" t="inlineStr">
        <is>
          <t>Unitaria / Integración</t>
        </is>
      </c>
      <c r="I620" s="5" t="inlineStr">
        <is>
          <t>Funcional</t>
        </is>
      </c>
      <c r="J620" s="5" t="inlineStr">
        <is>
          <t>Vitest frontend</t>
        </is>
      </c>
      <c r="K620" s="5" t="inlineStr">
        <is>
          <t>frontend/src/tests/unit/services/account.service.test.ts</t>
        </is>
      </c>
      <c r="L620" s="5" t="inlineStr">
        <is>
          <t>Todas las pruebas del archivo pasan</t>
        </is>
      </c>
      <c r="M620" s="5" t="inlineStr">
        <is>
          <t>6/6 pasan</t>
        </is>
      </c>
      <c r="N620" s="7" t="inlineStr">
        <is>
          <t>Aprobado</t>
        </is>
      </c>
      <c r="O620" s="5" t="inlineStr">
        <is>
          <t>2026-10-27</t>
        </is>
      </c>
      <c r="P620" s="5" t="inlineStr">
        <is>
          <t>docs/evidencia-final-equipo/vitest-frontend.json</t>
        </is>
      </c>
      <c r="Q620" s="5" t="inlineStr">
        <is>
          <t>-</t>
        </is>
      </c>
    </row>
    <row r="621">
      <c r="A621" s="5" t="inlineStr">
        <is>
          <t>Equipo</t>
        </is>
      </c>
      <c r="B621" s="5" t="inlineStr">
        <is>
          <t>Otros</t>
        </is>
      </c>
      <c r="C621" s="5" t="inlineStr">
        <is>
          <t>OTROS</t>
        </is>
      </c>
      <c r="D621" s="5" t="inlineStr">
        <is>
          <t>Otros módulos (transferencias, solicitudes, notificaciones, pagos, cuentas, UX)</t>
        </is>
      </c>
      <c r="E621" s="5" t="inlineStr">
        <is>
          <t>Vitest frontend · unitaria</t>
        </is>
      </c>
      <c r="F621" s="5" t="inlineStr">
        <is>
          <t>VT-format.test</t>
        </is>
      </c>
      <c r="G621" s="5" t="inlineStr">
        <is>
          <t>format.test.ts (6 pruebas)</t>
        </is>
      </c>
      <c r="H621" s="5" t="inlineStr">
        <is>
          <t>Unitaria / Integración</t>
        </is>
      </c>
      <c r="I621" s="5" t="inlineStr">
        <is>
          <t>Funcional</t>
        </is>
      </c>
      <c r="J621" s="5" t="inlineStr">
        <is>
          <t>Vitest frontend</t>
        </is>
      </c>
      <c r="K621" s="5" t="inlineStr">
        <is>
          <t>frontend/src/tests/unit/utils/format.test.ts</t>
        </is>
      </c>
      <c r="L621" s="5" t="inlineStr">
        <is>
          <t>Todas las pruebas del archivo pasan</t>
        </is>
      </c>
      <c r="M621" s="5" t="inlineStr">
        <is>
          <t>6/6 pasan</t>
        </is>
      </c>
      <c r="N621" s="7" t="inlineStr">
        <is>
          <t>Aprobado</t>
        </is>
      </c>
      <c r="O621" s="5" t="inlineStr">
        <is>
          <t>2026-10-27</t>
        </is>
      </c>
      <c r="P621" s="5" t="inlineStr">
        <is>
          <t>docs/evidencia-final-equipo/vitest-frontend.json</t>
        </is>
      </c>
      <c r="Q621" s="5" t="inlineStr">
        <is>
          <t>-</t>
        </is>
      </c>
    </row>
    <row r="622">
      <c r="A622" s="5" t="inlineStr">
        <is>
          <t>Equipo</t>
        </is>
      </c>
      <c r="B622" s="5" t="inlineStr">
        <is>
          <t>Otros</t>
        </is>
      </c>
      <c r="C622" s="5" t="inlineStr">
        <is>
          <t>OTROS</t>
        </is>
      </c>
      <c r="D622" s="5" t="inlineStr">
        <is>
          <t>Otros módulos (transferencias, solicitudes, notificaciones, pagos, cuentas, UX)</t>
        </is>
      </c>
      <c r="E622" s="5" t="inlineStr">
        <is>
          <t>Vitest frontend · unitaria</t>
        </is>
      </c>
      <c r="F622" s="5" t="inlineStr">
        <is>
          <t>VT-format.test</t>
        </is>
      </c>
      <c r="G622" s="5" t="inlineStr">
        <is>
          <t>format.test.ts (6 pruebas)</t>
        </is>
      </c>
      <c r="H622" s="5" t="inlineStr">
        <is>
          <t>Unitaria / Integración</t>
        </is>
      </c>
      <c r="I622" s="5" t="inlineStr">
        <is>
          <t>Funcional</t>
        </is>
      </c>
      <c r="J622" s="5" t="inlineStr">
        <is>
          <t>Vitest frontend</t>
        </is>
      </c>
      <c r="K622" s="5" t="inlineStr">
        <is>
          <t>frontend/src/tests/unit/shared/format.test.ts</t>
        </is>
      </c>
      <c r="L622" s="5" t="inlineStr">
        <is>
          <t>Todas las pruebas del archivo pasan</t>
        </is>
      </c>
      <c r="M622" s="5" t="inlineStr">
        <is>
          <t>6/6 pasan</t>
        </is>
      </c>
      <c r="N622" s="7" t="inlineStr">
        <is>
          <t>Aprobado</t>
        </is>
      </c>
      <c r="O622" s="5" t="inlineStr">
        <is>
          <t>2026-10-27</t>
        </is>
      </c>
      <c r="P622" s="5" t="inlineStr">
        <is>
          <t>docs/evidencia-final-equipo/vitest-frontend.json</t>
        </is>
      </c>
      <c r="Q622" s="5" t="inlineStr">
        <is>
          <t>-</t>
        </is>
      </c>
    </row>
    <row r="623">
      <c r="A623" s="5" t="inlineStr">
        <is>
          <t>Equipo</t>
        </is>
      </c>
      <c r="B623" s="5" t="inlineStr">
        <is>
          <t>Otros</t>
        </is>
      </c>
      <c r="C623" s="5" t="inlineStr">
        <is>
          <t>OTROS</t>
        </is>
      </c>
      <c r="D623" s="5" t="inlineStr">
        <is>
          <t>Otros módulos (transferencias, solicitudes, notificaciones, pagos, cuentas, UX)</t>
        </is>
      </c>
      <c r="E623" s="5" t="inlineStr">
        <is>
          <t>Vitest frontend · unitaria</t>
        </is>
      </c>
      <c r="F623" s="5" t="inlineStr">
        <is>
          <t>VT-getMessage.test</t>
        </is>
      </c>
      <c r="G623" s="5" t="inlineStr">
        <is>
          <t>getMessage.test.ts (2 pruebas)</t>
        </is>
      </c>
      <c r="H623" s="5" t="inlineStr">
        <is>
          <t>Unitaria / Integración</t>
        </is>
      </c>
      <c r="I623" s="5" t="inlineStr">
        <is>
          <t>Funcional</t>
        </is>
      </c>
      <c r="J623" s="5" t="inlineStr">
        <is>
          <t>Vitest frontend</t>
        </is>
      </c>
      <c r="K623" s="5" t="inlineStr">
        <is>
          <t>frontend/src/tests/unit/utils/getMessage.test.ts</t>
        </is>
      </c>
      <c r="L623" s="5" t="inlineStr">
        <is>
          <t>Todas las pruebas del archivo pasan</t>
        </is>
      </c>
      <c r="M623" s="5" t="inlineStr">
        <is>
          <t>2/2 pasan</t>
        </is>
      </c>
      <c r="N623" s="7" t="inlineStr">
        <is>
          <t>Aprobado</t>
        </is>
      </c>
      <c r="O623" s="5" t="inlineStr">
        <is>
          <t>2026-10-27</t>
        </is>
      </c>
      <c r="P623" s="5" t="inlineStr">
        <is>
          <t>docs/evidencia-final-equipo/vitest-frontend.json</t>
        </is>
      </c>
      <c r="Q623" s="5" t="inlineStr">
        <is>
          <t>-</t>
        </is>
      </c>
    </row>
    <row r="624">
      <c r="A624" s="5" t="inlineStr">
        <is>
          <t>Equipo</t>
        </is>
      </c>
      <c r="B624" s="5" t="inlineStr">
        <is>
          <t>Otros</t>
        </is>
      </c>
      <c r="C624" s="5" t="inlineStr">
        <is>
          <t>OTROS</t>
        </is>
      </c>
      <c r="D624" s="5" t="inlineStr">
        <is>
          <t>Otros módulos (transferencias, solicitudes, notificaciones, pagos, cuentas, UX)</t>
        </is>
      </c>
      <c r="E624" s="5" t="inlineStr">
        <is>
          <t>Vitest frontend · unitaria</t>
        </is>
      </c>
      <c r="F624" s="5" t="inlineStr">
        <is>
          <t>VT-getMessage.test</t>
        </is>
      </c>
      <c r="G624" s="5" t="inlineStr">
        <is>
          <t>getMessage.test.ts (2 pruebas)</t>
        </is>
      </c>
      <c r="H624" s="5" t="inlineStr">
        <is>
          <t>Unitaria / Integración</t>
        </is>
      </c>
      <c r="I624" s="5" t="inlineStr">
        <is>
          <t>Funcional</t>
        </is>
      </c>
      <c r="J624" s="5" t="inlineStr">
        <is>
          <t>Vitest frontend</t>
        </is>
      </c>
      <c r="K624" s="5" t="inlineStr">
        <is>
          <t>frontend/src/tests/unit/shared/getMessage.test.ts</t>
        </is>
      </c>
      <c r="L624" s="5" t="inlineStr">
        <is>
          <t>Todas las pruebas del archivo pasan</t>
        </is>
      </c>
      <c r="M624" s="5" t="inlineStr">
        <is>
          <t>2/2 pasan</t>
        </is>
      </c>
      <c r="N624" s="7" t="inlineStr">
        <is>
          <t>Aprobado</t>
        </is>
      </c>
      <c r="O624" s="5" t="inlineStr">
        <is>
          <t>2026-10-27</t>
        </is>
      </c>
      <c r="P624" s="5" t="inlineStr">
        <is>
          <t>docs/evidencia-final-equipo/vitest-frontend.json</t>
        </is>
      </c>
      <c r="Q624" s="5" t="inlineStr">
        <is>
          <t>-</t>
        </is>
      </c>
    </row>
    <row r="625">
      <c r="A625" s="5" t="inlineStr">
        <is>
          <t>Equipo</t>
        </is>
      </c>
      <c r="B625" s="5" t="inlineStr">
        <is>
          <t>Otros</t>
        </is>
      </c>
      <c r="C625" s="5" t="inlineStr">
        <is>
          <t>OTROS</t>
        </is>
      </c>
      <c r="D625" s="5" t="inlineStr">
        <is>
          <t>Otros módulos (transferencias, solicitudes, notificaciones, pagos, cuentas, UX)</t>
        </is>
      </c>
      <c r="E625" s="5" t="inlineStr">
        <is>
          <t>Vitest frontend · unitaria</t>
        </is>
      </c>
      <c r="F625" s="5" t="inlineStr">
        <is>
          <t>VT-shared.utils.test</t>
        </is>
      </c>
      <c r="G625" s="5" t="inlineStr">
        <is>
          <t>shared.utils.test.ts (2 pruebas)</t>
        </is>
      </c>
      <c r="H625" s="5" t="inlineStr">
        <is>
          <t>Unitaria / Integración</t>
        </is>
      </c>
      <c r="I625" s="5" t="inlineStr">
        <is>
          <t>Funcional</t>
        </is>
      </c>
      <c r="J625" s="5" t="inlineStr">
        <is>
          <t>Vitest frontend</t>
        </is>
      </c>
      <c r="K625" s="5" t="inlineStr">
        <is>
          <t>frontend/src/tests/unit/shared/shared.utils.test.ts</t>
        </is>
      </c>
      <c r="L625" s="5" t="inlineStr">
        <is>
          <t>Todas las pruebas del archivo pasan</t>
        </is>
      </c>
      <c r="M625" s="5" t="inlineStr">
        <is>
          <t>2/2 pasan</t>
        </is>
      </c>
      <c r="N625" s="7" t="inlineStr">
        <is>
          <t>Aprobado</t>
        </is>
      </c>
      <c r="O625" s="5" t="inlineStr">
        <is>
          <t>2026-10-27</t>
        </is>
      </c>
      <c r="P625" s="5" t="inlineStr">
        <is>
          <t>docs/evidencia-final-equipo/vitest-frontend.json</t>
        </is>
      </c>
      <c r="Q625" s="5" t="inlineStr">
        <is>
          <t>-</t>
        </is>
      </c>
    </row>
    <row r="626">
      <c r="A626" s="5" t="inlineStr">
        <is>
          <t>Equipo</t>
        </is>
      </c>
      <c r="B626" s="5" t="inlineStr">
        <is>
          <t>Otros</t>
        </is>
      </c>
      <c r="C626" s="5" t="inlineStr">
        <is>
          <t>OTROS</t>
        </is>
      </c>
      <c r="D626" s="5" t="inlineStr">
        <is>
          <t>Otros módulos (transferencias, solicitudes, notificaciones, pagos, cuentas, UX)</t>
        </is>
      </c>
      <c r="E626" s="5" t="inlineStr">
        <is>
          <t>Vitest frontend · unitaria</t>
        </is>
      </c>
      <c r="F626" s="5" t="inlineStr">
        <is>
          <t>VT-ux-insights.test</t>
        </is>
      </c>
      <c r="G626" s="5" t="inlineStr">
        <is>
          <t>ux-insights.test.tsx (7 pruebas)</t>
        </is>
      </c>
      <c r="H626" s="5" t="inlineStr">
        <is>
          <t>Unitaria / Integración</t>
        </is>
      </c>
      <c r="I626" s="5" t="inlineStr">
        <is>
          <t>Funcional</t>
        </is>
      </c>
      <c r="J626" s="5" t="inlineStr">
        <is>
          <t>Vitest frontend</t>
        </is>
      </c>
      <c r="K626" s="5" t="inlineStr">
        <is>
          <t>frontend/src/tests/unit/ux-insights/ux-insights.test.tsx</t>
        </is>
      </c>
      <c r="L626" s="5" t="inlineStr">
        <is>
          <t>Todas las pruebas del archivo pasan</t>
        </is>
      </c>
      <c r="M626" s="5" t="inlineStr">
        <is>
          <t>7/7 pasan</t>
        </is>
      </c>
      <c r="N626" s="7" t="inlineStr">
        <is>
          <t>Aprobado</t>
        </is>
      </c>
      <c r="O626" s="5" t="inlineStr">
        <is>
          <t>2026-10-27</t>
        </is>
      </c>
      <c r="P626" s="5" t="inlineStr">
        <is>
          <t>docs/evidencia-final-equipo/vitest-frontend.json</t>
        </is>
      </c>
      <c r="Q626" s="5" t="inlineStr">
        <is>
          <t>-</t>
        </is>
      </c>
    </row>
  </sheetData>
  <autoFilter ref="A1:Q626"/>
  <dataValidations count="1">
    <dataValidation sqref="N2:N626" showDropDown="0" showInputMessage="0" showErrorMessage="0" allowBlank="0" type="list">
      <formula1>"Aprobado,Aprobado (reportado),Fallido,Pendiente,No ejecutado,Sin resultado registrado"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0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 ht="75" customHeight="1">
      <c r="A1" s="4" t="inlineStr">
        <is>
          <t>Integrante</t>
        </is>
      </c>
      <c r="B1" s="4" t="inlineStr">
        <is>
          <t>Módulo</t>
        </is>
      </c>
      <c r="C1" s="4" t="inlineStr">
        <is>
          <t>ID Requisito</t>
        </is>
      </c>
      <c r="D1" s="4" t="inlineStr">
        <is>
          <t>Requisito</t>
        </is>
      </c>
      <c r="E1" s="4" t="inlineStr">
        <is>
          <t>Casos del Excel (diseño + ejecución manual)</t>
        </is>
      </c>
      <c r="F1" s="4" t="inlineStr">
        <is>
          <t>Cypress (Créditos, mocks)</t>
        </is>
      </c>
      <c r="G1" s="4" t="inlineStr">
        <is>
          <t>Cypress (Usuarios y Retiro, Tomás)</t>
        </is>
      </c>
      <c r="H1" s="4" t="inlineStr">
        <is>
          <t>Cypress + Gherkin (Bolsillos)</t>
        </is>
      </c>
      <c r="I1" s="4" t="inlineStr">
        <is>
          <t>IA · Cypress Cloud + cy.prompt (Andrés)</t>
        </is>
      </c>
      <c r="J1" s="4" t="inlineStr">
        <is>
          <t>IA · Keploy (Alejandro)</t>
        </is>
      </c>
      <c r="K1" s="4" t="inlineStr">
        <is>
          <t>IA · Playwright MCP (Andrés)</t>
        </is>
      </c>
      <c r="L1" s="4" t="inlineStr">
        <is>
          <t>IA · Playwright Test Agents (Alejandro)</t>
        </is>
      </c>
      <c r="M1" s="4" t="inlineStr">
        <is>
          <t>IA · Postman + Newman (Alejandro)</t>
        </is>
      </c>
      <c r="N1" s="4" t="inlineStr">
        <is>
          <t>IA · ReportPortal (Andrés)</t>
        </is>
      </c>
      <c r="O1" s="4" t="inlineStr">
        <is>
          <t>Katalon Recorder</t>
        </is>
      </c>
      <c r="P1" s="4" t="inlineStr">
        <is>
          <t>Serenity/JS Screenplay + Gherkin</t>
        </is>
      </c>
      <c r="Q1" s="4" t="inlineStr">
        <is>
          <t>Stagehand (Gemini, Andrés)</t>
        </is>
      </c>
      <c r="R1" s="4" t="inlineStr">
        <is>
          <t>Stagehand (Tomás)</t>
        </is>
      </c>
      <c r="S1" s="4" t="inlineStr">
        <is>
          <t>Stagehand (google/gemini-3.5-flash)</t>
        </is>
      </c>
      <c r="T1" s="4" t="inlineStr">
        <is>
          <t>Stagehand (google/gemini-3.5-flash-lite)</t>
        </is>
      </c>
      <c r="U1" s="4" t="inlineStr">
        <is>
          <t>Vitest backend</t>
        </is>
      </c>
      <c r="V1" s="4" t="inlineStr">
        <is>
          <t>Vitest frontend</t>
        </is>
      </c>
      <c r="W1" s="4" t="inlineStr">
        <is>
          <t>Total</t>
        </is>
      </c>
      <c r="X1" s="4" t="inlineStr">
        <is>
          <t>Aprobados</t>
        </is>
      </c>
      <c r="Y1" s="4" t="inlineStr">
        <is>
          <t>Aprobados (reportados)</t>
        </is>
      </c>
      <c r="Z1" s="4" t="inlineStr">
        <is>
          <t>Fallidos</t>
        </is>
      </c>
      <c r="AA1" s="4" t="inlineStr">
        <is>
          <t>Pendientes / sin resultado</t>
        </is>
      </c>
      <c r="AB1" s="4" t="inlineStr">
        <is>
          <t>% Aprobado (total)</t>
        </is>
      </c>
    </row>
    <row r="2">
      <c r="A2" s="10" t="inlineStr">
        <is>
          <t>Tomás Henao</t>
        </is>
      </c>
      <c r="B2" s="10" t="inlineStr">
        <is>
          <t>Usuarios</t>
        </is>
      </c>
      <c r="C2" s="10" t="inlineStr">
        <is>
          <t>RF-01</t>
        </is>
      </c>
      <c r="D2" s="10" t="inlineStr">
        <is>
          <t>Registro de usuario</t>
        </is>
      </c>
      <c r="E2" s="10">
        <f>COUNTIFS('Matriz Equipo'!$D$2:$D$626,$D2,'Matriz Equipo'!$J$2:$J$626,"Casos del Excel (diseño + ejecución manual)")</f>
        <v/>
      </c>
      <c r="F2" s="10">
        <f>COUNTIFS('Matriz Equipo'!$D$2:$D$626,$D2,'Matriz Equipo'!$J$2:$J$626,"Cypress (Créditos, mocks)")</f>
        <v/>
      </c>
      <c r="G2" s="10">
        <f>COUNTIFS('Matriz Equipo'!$D$2:$D$626,$D2,'Matriz Equipo'!$J$2:$J$626,"Cypress (Usuarios y Retiro, Tomás)")</f>
        <v/>
      </c>
      <c r="H2" s="10">
        <f>COUNTIFS('Matriz Equipo'!$D$2:$D$626,$D2,'Matriz Equipo'!$J$2:$J$626,"Cypress + Gherkin (Bolsillos)")</f>
        <v/>
      </c>
      <c r="I2" s="10">
        <f>COUNTIFS('Matriz Equipo'!$D$2:$D$626,$D2,'Matriz Equipo'!$J$2:$J$626,"IA · Cypress Cloud + cy.prompt (Andrés)")</f>
        <v/>
      </c>
      <c r="J2" s="10">
        <f>COUNTIFS('Matriz Equipo'!$D$2:$D$626,$D2,'Matriz Equipo'!$J$2:$J$626,"IA · Keploy (Alejandro)")</f>
        <v/>
      </c>
      <c r="K2" s="10">
        <f>COUNTIFS('Matriz Equipo'!$D$2:$D$626,$D2,'Matriz Equipo'!$J$2:$J$626,"IA · Playwright MCP (Andrés)")</f>
        <v/>
      </c>
      <c r="L2" s="10">
        <f>COUNTIFS('Matriz Equipo'!$D$2:$D$626,$D2,'Matriz Equipo'!$J$2:$J$626,"IA · Playwright Test Agents (Alejandro)")</f>
        <v/>
      </c>
      <c r="M2" s="10">
        <f>COUNTIFS('Matriz Equipo'!$D$2:$D$626,$D2,'Matriz Equipo'!$J$2:$J$626,"IA · Postman + Newman (Alejandro)")</f>
        <v/>
      </c>
      <c r="N2" s="10">
        <f>COUNTIFS('Matriz Equipo'!$D$2:$D$626,$D2,'Matriz Equipo'!$J$2:$J$626,"IA · ReportPortal (Andrés)")</f>
        <v/>
      </c>
      <c r="O2" s="10">
        <f>COUNTIFS('Matriz Equipo'!$D$2:$D$626,$D2,'Matriz Equipo'!$J$2:$J$626,"Katalon Recorder")</f>
        <v/>
      </c>
      <c r="P2" s="10">
        <f>COUNTIFS('Matriz Equipo'!$D$2:$D$626,$D2,'Matriz Equipo'!$J$2:$J$626,"Serenity/JS Screenplay + Gherkin")</f>
        <v/>
      </c>
      <c r="Q2" s="10">
        <f>COUNTIFS('Matriz Equipo'!$D$2:$D$626,$D2,'Matriz Equipo'!$J$2:$J$626,"Stagehand (Gemini, Andrés)")</f>
        <v/>
      </c>
      <c r="R2" s="10">
        <f>COUNTIFS('Matriz Equipo'!$D$2:$D$626,$D2,'Matriz Equipo'!$J$2:$J$626,"Stagehand (Tomás)")</f>
        <v/>
      </c>
      <c r="S2" s="10">
        <f>COUNTIFS('Matriz Equipo'!$D$2:$D$626,$D2,'Matriz Equipo'!$J$2:$J$626,"Stagehand (google/gemini-3.5-flash)")</f>
        <v/>
      </c>
      <c r="T2" s="10">
        <f>COUNTIFS('Matriz Equipo'!$D$2:$D$626,$D2,'Matriz Equipo'!$J$2:$J$626,"Stagehand (google/gemini-3.5-flash-lite)")</f>
        <v/>
      </c>
      <c r="U2" s="10">
        <f>COUNTIFS('Matriz Equipo'!$D$2:$D$626,$D2,'Matriz Equipo'!$J$2:$J$626,"Vitest backend")</f>
        <v/>
      </c>
      <c r="V2" s="10">
        <f>COUNTIFS('Matriz Equipo'!$D$2:$D$626,$D2,'Matriz Equipo'!$J$2:$J$626,"Vitest frontend")</f>
        <v/>
      </c>
      <c r="W2" s="10">
        <f>COUNTIFS('Matriz Equipo'!$D$2:$D$626,$D2)</f>
        <v/>
      </c>
      <c r="X2" s="10">
        <f>COUNTIFS('Matriz Equipo'!$D$2:$D$626,$D2,'Matriz Equipo'!$N$2:$N$626,"Aprobado")</f>
        <v/>
      </c>
      <c r="Y2" s="10">
        <f>COUNTIFS('Matriz Equipo'!$D$2:$D$626,$D2,'Matriz Equipo'!$N$2:$N$626,"Aprobado (reportado)")</f>
        <v/>
      </c>
      <c r="Z2" s="10">
        <f>COUNTIFS('Matriz Equipo'!$D$2:$D$626,$D2,'Matriz Equipo'!$N$2:$N$626,"Fallido")</f>
        <v/>
      </c>
      <c r="AA2" s="10">
        <f>W2-X2-Y2-Z2</f>
        <v/>
      </c>
      <c r="AB2" s="11">
        <f>IF(W2=0,0,(X2+Y2)/W2)</f>
        <v/>
      </c>
    </row>
    <row r="3">
      <c r="A3" s="10" t="inlineStr">
        <is>
          <t>Tomás Henao</t>
        </is>
      </c>
      <c r="B3" s="10" t="inlineStr">
        <is>
          <t>Usuarios</t>
        </is>
      </c>
      <c r="C3" s="10" t="inlineStr">
        <is>
          <t>RF-04</t>
        </is>
      </c>
      <c r="D3" s="10" t="inlineStr">
        <is>
          <t>Autenticación de usuario</t>
        </is>
      </c>
      <c r="E3" s="10">
        <f>COUNTIFS('Matriz Equipo'!$D$2:$D$626,$D3,'Matriz Equipo'!$J$2:$J$626,"Casos del Excel (diseño + ejecución manual)")</f>
        <v/>
      </c>
      <c r="F3" s="10">
        <f>COUNTIFS('Matriz Equipo'!$D$2:$D$626,$D3,'Matriz Equipo'!$J$2:$J$626,"Cypress (Créditos, mocks)")</f>
        <v/>
      </c>
      <c r="G3" s="10">
        <f>COUNTIFS('Matriz Equipo'!$D$2:$D$626,$D3,'Matriz Equipo'!$J$2:$J$626,"Cypress (Usuarios y Retiro, Tomás)")</f>
        <v/>
      </c>
      <c r="H3" s="10">
        <f>COUNTIFS('Matriz Equipo'!$D$2:$D$626,$D3,'Matriz Equipo'!$J$2:$J$626,"Cypress + Gherkin (Bolsillos)")</f>
        <v/>
      </c>
      <c r="I3" s="10">
        <f>COUNTIFS('Matriz Equipo'!$D$2:$D$626,$D3,'Matriz Equipo'!$J$2:$J$626,"IA · Cypress Cloud + cy.prompt (Andrés)")</f>
        <v/>
      </c>
      <c r="J3" s="10">
        <f>COUNTIFS('Matriz Equipo'!$D$2:$D$626,$D3,'Matriz Equipo'!$J$2:$J$626,"IA · Keploy (Alejandro)")</f>
        <v/>
      </c>
      <c r="K3" s="10">
        <f>COUNTIFS('Matriz Equipo'!$D$2:$D$626,$D3,'Matriz Equipo'!$J$2:$J$626,"IA · Playwright MCP (Andrés)")</f>
        <v/>
      </c>
      <c r="L3" s="10">
        <f>COUNTIFS('Matriz Equipo'!$D$2:$D$626,$D3,'Matriz Equipo'!$J$2:$J$626,"IA · Playwright Test Agents (Alejandro)")</f>
        <v/>
      </c>
      <c r="M3" s="10">
        <f>COUNTIFS('Matriz Equipo'!$D$2:$D$626,$D3,'Matriz Equipo'!$J$2:$J$626,"IA · Postman + Newman (Alejandro)")</f>
        <v/>
      </c>
      <c r="N3" s="10">
        <f>COUNTIFS('Matriz Equipo'!$D$2:$D$626,$D3,'Matriz Equipo'!$J$2:$J$626,"IA · ReportPortal (Andrés)")</f>
        <v/>
      </c>
      <c r="O3" s="10">
        <f>COUNTIFS('Matriz Equipo'!$D$2:$D$626,$D3,'Matriz Equipo'!$J$2:$J$626,"Katalon Recorder")</f>
        <v/>
      </c>
      <c r="P3" s="10">
        <f>COUNTIFS('Matriz Equipo'!$D$2:$D$626,$D3,'Matriz Equipo'!$J$2:$J$626,"Serenity/JS Screenplay + Gherkin")</f>
        <v/>
      </c>
      <c r="Q3" s="10">
        <f>COUNTIFS('Matriz Equipo'!$D$2:$D$626,$D3,'Matriz Equipo'!$J$2:$J$626,"Stagehand (Gemini, Andrés)")</f>
        <v/>
      </c>
      <c r="R3" s="10">
        <f>COUNTIFS('Matriz Equipo'!$D$2:$D$626,$D3,'Matriz Equipo'!$J$2:$J$626,"Stagehand (Tomás)")</f>
        <v/>
      </c>
      <c r="S3" s="10">
        <f>COUNTIFS('Matriz Equipo'!$D$2:$D$626,$D3,'Matriz Equipo'!$J$2:$J$626,"Stagehand (google/gemini-3.5-flash)")</f>
        <v/>
      </c>
      <c r="T3" s="10">
        <f>COUNTIFS('Matriz Equipo'!$D$2:$D$626,$D3,'Matriz Equipo'!$J$2:$J$626,"Stagehand (google/gemini-3.5-flash-lite)")</f>
        <v/>
      </c>
      <c r="U3" s="10">
        <f>COUNTIFS('Matriz Equipo'!$D$2:$D$626,$D3,'Matriz Equipo'!$J$2:$J$626,"Vitest backend")</f>
        <v/>
      </c>
      <c r="V3" s="10">
        <f>COUNTIFS('Matriz Equipo'!$D$2:$D$626,$D3,'Matriz Equipo'!$J$2:$J$626,"Vitest frontend")</f>
        <v/>
      </c>
      <c r="W3" s="10">
        <f>COUNTIFS('Matriz Equipo'!$D$2:$D$626,$D3)</f>
        <v/>
      </c>
      <c r="X3" s="10">
        <f>COUNTIFS('Matriz Equipo'!$D$2:$D$626,$D3,'Matriz Equipo'!$N$2:$N$626,"Aprobado")</f>
        <v/>
      </c>
      <c r="Y3" s="10">
        <f>COUNTIFS('Matriz Equipo'!$D$2:$D$626,$D3,'Matriz Equipo'!$N$2:$N$626,"Aprobado (reportado)")</f>
        <v/>
      </c>
      <c r="Z3" s="10">
        <f>COUNTIFS('Matriz Equipo'!$D$2:$D$626,$D3,'Matriz Equipo'!$N$2:$N$626,"Fallido")</f>
        <v/>
      </c>
      <c r="AA3" s="10">
        <f>W3-X3-Y3-Z3</f>
        <v/>
      </c>
      <c r="AB3" s="11">
        <f>IF(W3=0,0,(X3+Y3)/W3)</f>
        <v/>
      </c>
    </row>
    <row r="4">
      <c r="A4" s="10" t="inlineStr">
        <is>
          <t>Tomás Henao</t>
        </is>
      </c>
      <c r="B4" s="10" t="inlineStr">
        <is>
          <t>Usuarios</t>
        </is>
      </c>
      <c r="C4" s="10" t="inlineStr">
        <is>
          <t>RF-09</t>
        </is>
      </c>
      <c r="D4" s="10" t="inlineStr">
        <is>
          <t>Restablecimiento seguro de contraseña</t>
        </is>
      </c>
      <c r="E4" s="10">
        <f>COUNTIFS('Matriz Equipo'!$D$2:$D$626,$D4,'Matriz Equipo'!$J$2:$J$626,"Casos del Excel (diseño + ejecución manual)")</f>
        <v/>
      </c>
      <c r="F4" s="10">
        <f>COUNTIFS('Matriz Equipo'!$D$2:$D$626,$D4,'Matriz Equipo'!$J$2:$J$626,"Cypress (Créditos, mocks)")</f>
        <v/>
      </c>
      <c r="G4" s="10">
        <f>COUNTIFS('Matriz Equipo'!$D$2:$D$626,$D4,'Matriz Equipo'!$J$2:$J$626,"Cypress (Usuarios y Retiro, Tomás)")</f>
        <v/>
      </c>
      <c r="H4" s="10">
        <f>COUNTIFS('Matriz Equipo'!$D$2:$D$626,$D4,'Matriz Equipo'!$J$2:$J$626,"Cypress + Gherkin (Bolsillos)")</f>
        <v/>
      </c>
      <c r="I4" s="10">
        <f>COUNTIFS('Matriz Equipo'!$D$2:$D$626,$D4,'Matriz Equipo'!$J$2:$J$626,"IA · Cypress Cloud + cy.prompt (Andrés)")</f>
        <v/>
      </c>
      <c r="J4" s="10">
        <f>COUNTIFS('Matriz Equipo'!$D$2:$D$626,$D4,'Matriz Equipo'!$J$2:$J$626,"IA · Keploy (Alejandro)")</f>
        <v/>
      </c>
      <c r="K4" s="10">
        <f>COUNTIFS('Matriz Equipo'!$D$2:$D$626,$D4,'Matriz Equipo'!$J$2:$J$626,"IA · Playwright MCP (Andrés)")</f>
        <v/>
      </c>
      <c r="L4" s="10">
        <f>COUNTIFS('Matriz Equipo'!$D$2:$D$626,$D4,'Matriz Equipo'!$J$2:$J$626,"IA · Playwright Test Agents (Alejandro)")</f>
        <v/>
      </c>
      <c r="M4" s="10">
        <f>COUNTIFS('Matriz Equipo'!$D$2:$D$626,$D4,'Matriz Equipo'!$J$2:$J$626,"IA · Postman + Newman (Alejandro)")</f>
        <v/>
      </c>
      <c r="N4" s="10">
        <f>COUNTIFS('Matriz Equipo'!$D$2:$D$626,$D4,'Matriz Equipo'!$J$2:$J$626,"IA · ReportPortal (Andrés)")</f>
        <v/>
      </c>
      <c r="O4" s="10">
        <f>COUNTIFS('Matriz Equipo'!$D$2:$D$626,$D4,'Matriz Equipo'!$J$2:$J$626,"Katalon Recorder")</f>
        <v/>
      </c>
      <c r="P4" s="10">
        <f>COUNTIFS('Matriz Equipo'!$D$2:$D$626,$D4,'Matriz Equipo'!$J$2:$J$626,"Serenity/JS Screenplay + Gherkin")</f>
        <v/>
      </c>
      <c r="Q4" s="10">
        <f>COUNTIFS('Matriz Equipo'!$D$2:$D$626,$D4,'Matriz Equipo'!$J$2:$J$626,"Stagehand (Gemini, Andrés)")</f>
        <v/>
      </c>
      <c r="R4" s="10">
        <f>COUNTIFS('Matriz Equipo'!$D$2:$D$626,$D4,'Matriz Equipo'!$J$2:$J$626,"Stagehand (Tomás)")</f>
        <v/>
      </c>
      <c r="S4" s="10">
        <f>COUNTIFS('Matriz Equipo'!$D$2:$D$626,$D4,'Matriz Equipo'!$J$2:$J$626,"Stagehand (google/gemini-3.5-flash)")</f>
        <v/>
      </c>
      <c r="T4" s="10">
        <f>COUNTIFS('Matriz Equipo'!$D$2:$D$626,$D4,'Matriz Equipo'!$J$2:$J$626,"Stagehand (google/gemini-3.5-flash-lite)")</f>
        <v/>
      </c>
      <c r="U4" s="10">
        <f>COUNTIFS('Matriz Equipo'!$D$2:$D$626,$D4,'Matriz Equipo'!$J$2:$J$626,"Vitest backend")</f>
        <v/>
      </c>
      <c r="V4" s="10">
        <f>COUNTIFS('Matriz Equipo'!$D$2:$D$626,$D4,'Matriz Equipo'!$J$2:$J$626,"Vitest frontend")</f>
        <v/>
      </c>
      <c r="W4" s="10">
        <f>COUNTIFS('Matriz Equipo'!$D$2:$D$626,$D4)</f>
        <v/>
      </c>
      <c r="X4" s="10">
        <f>COUNTIFS('Matriz Equipo'!$D$2:$D$626,$D4,'Matriz Equipo'!$N$2:$N$626,"Aprobado")</f>
        <v/>
      </c>
      <c r="Y4" s="10">
        <f>COUNTIFS('Matriz Equipo'!$D$2:$D$626,$D4,'Matriz Equipo'!$N$2:$N$626,"Aprobado (reportado)")</f>
        <v/>
      </c>
      <c r="Z4" s="10">
        <f>COUNTIFS('Matriz Equipo'!$D$2:$D$626,$D4,'Matriz Equipo'!$N$2:$N$626,"Fallido")</f>
        <v/>
      </c>
      <c r="AA4" s="10">
        <f>W4-X4-Y4-Z4</f>
        <v/>
      </c>
      <c r="AB4" s="11">
        <f>IF(W4=0,0,(X4+Y4)/W4)</f>
        <v/>
      </c>
    </row>
    <row r="5">
      <c r="A5" s="10" t="inlineStr">
        <is>
          <t>Tomás Henao</t>
        </is>
      </c>
      <c r="B5" s="10" t="inlineStr">
        <is>
          <t>Usuarios</t>
        </is>
      </c>
      <c r="C5" s="10" t="inlineStr">
        <is>
          <t>RF-13</t>
        </is>
      </c>
      <c r="D5" s="10" t="inlineStr">
        <is>
          <t>Validación 2FA durante la autenticación</t>
        </is>
      </c>
      <c r="E5" s="10">
        <f>COUNTIFS('Matriz Equipo'!$D$2:$D$626,$D5,'Matriz Equipo'!$J$2:$J$626,"Casos del Excel (diseño + ejecución manual)")</f>
        <v/>
      </c>
      <c r="F5" s="10">
        <f>COUNTIFS('Matriz Equipo'!$D$2:$D$626,$D5,'Matriz Equipo'!$J$2:$J$626,"Cypress (Créditos, mocks)")</f>
        <v/>
      </c>
      <c r="G5" s="10">
        <f>COUNTIFS('Matriz Equipo'!$D$2:$D$626,$D5,'Matriz Equipo'!$J$2:$J$626,"Cypress (Usuarios y Retiro, Tomás)")</f>
        <v/>
      </c>
      <c r="H5" s="10">
        <f>COUNTIFS('Matriz Equipo'!$D$2:$D$626,$D5,'Matriz Equipo'!$J$2:$J$626,"Cypress + Gherkin (Bolsillos)")</f>
        <v/>
      </c>
      <c r="I5" s="10">
        <f>COUNTIFS('Matriz Equipo'!$D$2:$D$626,$D5,'Matriz Equipo'!$J$2:$J$626,"IA · Cypress Cloud + cy.prompt (Andrés)")</f>
        <v/>
      </c>
      <c r="J5" s="10">
        <f>COUNTIFS('Matriz Equipo'!$D$2:$D$626,$D5,'Matriz Equipo'!$J$2:$J$626,"IA · Keploy (Alejandro)")</f>
        <v/>
      </c>
      <c r="K5" s="10">
        <f>COUNTIFS('Matriz Equipo'!$D$2:$D$626,$D5,'Matriz Equipo'!$J$2:$J$626,"IA · Playwright MCP (Andrés)")</f>
        <v/>
      </c>
      <c r="L5" s="10">
        <f>COUNTIFS('Matriz Equipo'!$D$2:$D$626,$D5,'Matriz Equipo'!$J$2:$J$626,"IA · Playwright Test Agents (Alejandro)")</f>
        <v/>
      </c>
      <c r="M5" s="10">
        <f>COUNTIFS('Matriz Equipo'!$D$2:$D$626,$D5,'Matriz Equipo'!$J$2:$J$626,"IA · Postman + Newman (Alejandro)")</f>
        <v/>
      </c>
      <c r="N5" s="10">
        <f>COUNTIFS('Matriz Equipo'!$D$2:$D$626,$D5,'Matriz Equipo'!$J$2:$J$626,"IA · ReportPortal (Andrés)")</f>
        <v/>
      </c>
      <c r="O5" s="10">
        <f>COUNTIFS('Matriz Equipo'!$D$2:$D$626,$D5,'Matriz Equipo'!$J$2:$J$626,"Katalon Recorder")</f>
        <v/>
      </c>
      <c r="P5" s="10">
        <f>COUNTIFS('Matriz Equipo'!$D$2:$D$626,$D5,'Matriz Equipo'!$J$2:$J$626,"Serenity/JS Screenplay + Gherkin")</f>
        <v/>
      </c>
      <c r="Q5" s="10">
        <f>COUNTIFS('Matriz Equipo'!$D$2:$D$626,$D5,'Matriz Equipo'!$J$2:$J$626,"Stagehand (Gemini, Andrés)")</f>
        <v/>
      </c>
      <c r="R5" s="10">
        <f>COUNTIFS('Matriz Equipo'!$D$2:$D$626,$D5,'Matriz Equipo'!$J$2:$J$626,"Stagehand (Tomás)")</f>
        <v/>
      </c>
      <c r="S5" s="10">
        <f>COUNTIFS('Matriz Equipo'!$D$2:$D$626,$D5,'Matriz Equipo'!$J$2:$J$626,"Stagehand (google/gemini-3.5-flash)")</f>
        <v/>
      </c>
      <c r="T5" s="10">
        <f>COUNTIFS('Matriz Equipo'!$D$2:$D$626,$D5,'Matriz Equipo'!$J$2:$J$626,"Stagehand (google/gemini-3.5-flash-lite)")</f>
        <v/>
      </c>
      <c r="U5" s="10">
        <f>COUNTIFS('Matriz Equipo'!$D$2:$D$626,$D5,'Matriz Equipo'!$J$2:$J$626,"Vitest backend")</f>
        <v/>
      </c>
      <c r="V5" s="10">
        <f>COUNTIFS('Matriz Equipo'!$D$2:$D$626,$D5,'Matriz Equipo'!$J$2:$J$626,"Vitest frontend")</f>
        <v/>
      </c>
      <c r="W5" s="10">
        <f>COUNTIFS('Matriz Equipo'!$D$2:$D$626,$D5)</f>
        <v/>
      </c>
      <c r="X5" s="10">
        <f>COUNTIFS('Matriz Equipo'!$D$2:$D$626,$D5,'Matriz Equipo'!$N$2:$N$626,"Aprobado")</f>
        <v/>
      </c>
      <c r="Y5" s="10">
        <f>COUNTIFS('Matriz Equipo'!$D$2:$D$626,$D5,'Matriz Equipo'!$N$2:$N$626,"Aprobado (reportado)")</f>
        <v/>
      </c>
      <c r="Z5" s="10">
        <f>COUNTIFS('Matriz Equipo'!$D$2:$D$626,$D5,'Matriz Equipo'!$N$2:$N$626,"Fallido")</f>
        <v/>
      </c>
      <c r="AA5" s="10">
        <f>W5-X5-Y5-Z5</f>
        <v/>
      </c>
      <c r="AB5" s="11">
        <f>IF(W5=0,0,(X5+Y5)/W5)</f>
        <v/>
      </c>
    </row>
    <row r="6">
      <c r="A6" s="10" t="inlineStr">
        <is>
          <t>Tomás Henao</t>
        </is>
      </c>
      <c r="B6" s="10" t="inlineStr">
        <is>
          <t>Usuarios</t>
        </is>
      </c>
      <c r="C6" s="10" t="inlineStr">
        <is>
          <t>RF-16</t>
        </is>
      </c>
      <c r="D6" s="10" t="inlineStr">
        <is>
          <t>Actualización del perfil</t>
        </is>
      </c>
      <c r="E6" s="10">
        <f>COUNTIFS('Matriz Equipo'!$D$2:$D$626,$D6,'Matriz Equipo'!$J$2:$J$626,"Casos del Excel (diseño + ejecución manual)")</f>
        <v/>
      </c>
      <c r="F6" s="10">
        <f>COUNTIFS('Matriz Equipo'!$D$2:$D$626,$D6,'Matriz Equipo'!$J$2:$J$626,"Cypress (Créditos, mocks)")</f>
        <v/>
      </c>
      <c r="G6" s="10">
        <f>COUNTIFS('Matriz Equipo'!$D$2:$D$626,$D6,'Matriz Equipo'!$J$2:$J$626,"Cypress (Usuarios y Retiro, Tomás)")</f>
        <v/>
      </c>
      <c r="H6" s="10">
        <f>COUNTIFS('Matriz Equipo'!$D$2:$D$626,$D6,'Matriz Equipo'!$J$2:$J$626,"Cypress + Gherkin (Bolsillos)")</f>
        <v/>
      </c>
      <c r="I6" s="10">
        <f>COUNTIFS('Matriz Equipo'!$D$2:$D$626,$D6,'Matriz Equipo'!$J$2:$J$626,"IA · Cypress Cloud + cy.prompt (Andrés)")</f>
        <v/>
      </c>
      <c r="J6" s="10">
        <f>COUNTIFS('Matriz Equipo'!$D$2:$D$626,$D6,'Matriz Equipo'!$J$2:$J$626,"IA · Keploy (Alejandro)")</f>
        <v/>
      </c>
      <c r="K6" s="10">
        <f>COUNTIFS('Matriz Equipo'!$D$2:$D$626,$D6,'Matriz Equipo'!$J$2:$J$626,"IA · Playwright MCP (Andrés)")</f>
        <v/>
      </c>
      <c r="L6" s="10">
        <f>COUNTIFS('Matriz Equipo'!$D$2:$D$626,$D6,'Matriz Equipo'!$J$2:$J$626,"IA · Playwright Test Agents (Alejandro)")</f>
        <v/>
      </c>
      <c r="M6" s="10">
        <f>COUNTIFS('Matriz Equipo'!$D$2:$D$626,$D6,'Matriz Equipo'!$J$2:$J$626,"IA · Postman + Newman (Alejandro)")</f>
        <v/>
      </c>
      <c r="N6" s="10">
        <f>COUNTIFS('Matriz Equipo'!$D$2:$D$626,$D6,'Matriz Equipo'!$J$2:$J$626,"IA · ReportPortal (Andrés)")</f>
        <v/>
      </c>
      <c r="O6" s="10">
        <f>COUNTIFS('Matriz Equipo'!$D$2:$D$626,$D6,'Matriz Equipo'!$J$2:$J$626,"Katalon Recorder")</f>
        <v/>
      </c>
      <c r="P6" s="10">
        <f>COUNTIFS('Matriz Equipo'!$D$2:$D$626,$D6,'Matriz Equipo'!$J$2:$J$626,"Serenity/JS Screenplay + Gherkin")</f>
        <v/>
      </c>
      <c r="Q6" s="10">
        <f>COUNTIFS('Matriz Equipo'!$D$2:$D$626,$D6,'Matriz Equipo'!$J$2:$J$626,"Stagehand (Gemini, Andrés)")</f>
        <v/>
      </c>
      <c r="R6" s="10">
        <f>COUNTIFS('Matriz Equipo'!$D$2:$D$626,$D6,'Matriz Equipo'!$J$2:$J$626,"Stagehand (Tomás)")</f>
        <v/>
      </c>
      <c r="S6" s="10">
        <f>COUNTIFS('Matriz Equipo'!$D$2:$D$626,$D6,'Matriz Equipo'!$J$2:$J$626,"Stagehand (google/gemini-3.5-flash)")</f>
        <v/>
      </c>
      <c r="T6" s="10">
        <f>COUNTIFS('Matriz Equipo'!$D$2:$D$626,$D6,'Matriz Equipo'!$J$2:$J$626,"Stagehand (google/gemini-3.5-flash-lite)")</f>
        <v/>
      </c>
      <c r="U6" s="10">
        <f>COUNTIFS('Matriz Equipo'!$D$2:$D$626,$D6,'Matriz Equipo'!$J$2:$J$626,"Vitest backend")</f>
        <v/>
      </c>
      <c r="V6" s="10">
        <f>COUNTIFS('Matriz Equipo'!$D$2:$D$626,$D6,'Matriz Equipo'!$J$2:$J$626,"Vitest frontend")</f>
        <v/>
      </c>
      <c r="W6" s="10">
        <f>COUNTIFS('Matriz Equipo'!$D$2:$D$626,$D6)</f>
        <v/>
      </c>
      <c r="X6" s="10">
        <f>COUNTIFS('Matriz Equipo'!$D$2:$D$626,$D6,'Matriz Equipo'!$N$2:$N$626,"Aprobado")</f>
        <v/>
      </c>
      <c r="Y6" s="10">
        <f>COUNTIFS('Matriz Equipo'!$D$2:$D$626,$D6,'Matriz Equipo'!$N$2:$N$626,"Aprobado (reportado)")</f>
        <v/>
      </c>
      <c r="Z6" s="10">
        <f>COUNTIFS('Matriz Equipo'!$D$2:$D$626,$D6,'Matriz Equipo'!$N$2:$N$626,"Fallido")</f>
        <v/>
      </c>
      <c r="AA6" s="10">
        <f>W6-X6-Y6-Z6</f>
        <v/>
      </c>
      <c r="AB6" s="11">
        <f>IF(W6=0,0,(X6+Y6)/W6)</f>
        <v/>
      </c>
    </row>
    <row r="7">
      <c r="A7" s="10" t="inlineStr">
        <is>
          <t>Tomás Henao</t>
        </is>
      </c>
      <c r="B7" s="10" t="inlineStr">
        <is>
          <t>Cuentas</t>
        </is>
      </c>
      <c r="C7" s="10" t="inlineStr">
        <is>
          <t>EX-RET</t>
        </is>
      </c>
      <c r="D7" s="10" t="inlineStr">
        <is>
          <t>Retirar dinero (funcionalidad extra)</t>
        </is>
      </c>
      <c r="E7" s="10">
        <f>COUNTIFS('Matriz Equipo'!$D$2:$D$626,$D7,'Matriz Equipo'!$J$2:$J$626,"Casos del Excel (diseño + ejecución manual)")</f>
        <v/>
      </c>
      <c r="F7" s="10">
        <f>COUNTIFS('Matriz Equipo'!$D$2:$D$626,$D7,'Matriz Equipo'!$J$2:$J$626,"Cypress (Créditos, mocks)")</f>
        <v/>
      </c>
      <c r="G7" s="10">
        <f>COUNTIFS('Matriz Equipo'!$D$2:$D$626,$D7,'Matriz Equipo'!$J$2:$J$626,"Cypress (Usuarios y Retiro, Tomás)")</f>
        <v/>
      </c>
      <c r="H7" s="10">
        <f>COUNTIFS('Matriz Equipo'!$D$2:$D$626,$D7,'Matriz Equipo'!$J$2:$J$626,"Cypress + Gherkin (Bolsillos)")</f>
        <v/>
      </c>
      <c r="I7" s="10">
        <f>COUNTIFS('Matriz Equipo'!$D$2:$D$626,$D7,'Matriz Equipo'!$J$2:$J$626,"IA · Cypress Cloud + cy.prompt (Andrés)")</f>
        <v/>
      </c>
      <c r="J7" s="10">
        <f>COUNTIFS('Matriz Equipo'!$D$2:$D$626,$D7,'Matriz Equipo'!$J$2:$J$626,"IA · Keploy (Alejandro)")</f>
        <v/>
      </c>
      <c r="K7" s="10">
        <f>COUNTIFS('Matriz Equipo'!$D$2:$D$626,$D7,'Matriz Equipo'!$J$2:$J$626,"IA · Playwright MCP (Andrés)")</f>
        <v/>
      </c>
      <c r="L7" s="10">
        <f>COUNTIFS('Matriz Equipo'!$D$2:$D$626,$D7,'Matriz Equipo'!$J$2:$J$626,"IA · Playwright Test Agents (Alejandro)")</f>
        <v/>
      </c>
      <c r="M7" s="10">
        <f>COUNTIFS('Matriz Equipo'!$D$2:$D$626,$D7,'Matriz Equipo'!$J$2:$J$626,"IA · Postman + Newman (Alejandro)")</f>
        <v/>
      </c>
      <c r="N7" s="10">
        <f>COUNTIFS('Matriz Equipo'!$D$2:$D$626,$D7,'Matriz Equipo'!$J$2:$J$626,"IA · ReportPortal (Andrés)")</f>
        <v/>
      </c>
      <c r="O7" s="10">
        <f>COUNTIFS('Matriz Equipo'!$D$2:$D$626,$D7,'Matriz Equipo'!$J$2:$J$626,"Katalon Recorder")</f>
        <v/>
      </c>
      <c r="P7" s="10">
        <f>COUNTIFS('Matriz Equipo'!$D$2:$D$626,$D7,'Matriz Equipo'!$J$2:$J$626,"Serenity/JS Screenplay + Gherkin")</f>
        <v/>
      </c>
      <c r="Q7" s="10">
        <f>COUNTIFS('Matriz Equipo'!$D$2:$D$626,$D7,'Matriz Equipo'!$J$2:$J$626,"Stagehand (Gemini, Andrés)")</f>
        <v/>
      </c>
      <c r="R7" s="10">
        <f>COUNTIFS('Matriz Equipo'!$D$2:$D$626,$D7,'Matriz Equipo'!$J$2:$J$626,"Stagehand (Tomás)")</f>
        <v/>
      </c>
      <c r="S7" s="10">
        <f>COUNTIFS('Matriz Equipo'!$D$2:$D$626,$D7,'Matriz Equipo'!$J$2:$J$626,"Stagehand (google/gemini-3.5-flash)")</f>
        <v/>
      </c>
      <c r="T7" s="10">
        <f>COUNTIFS('Matriz Equipo'!$D$2:$D$626,$D7,'Matriz Equipo'!$J$2:$J$626,"Stagehand (google/gemini-3.5-flash-lite)")</f>
        <v/>
      </c>
      <c r="U7" s="10">
        <f>COUNTIFS('Matriz Equipo'!$D$2:$D$626,$D7,'Matriz Equipo'!$J$2:$J$626,"Vitest backend")</f>
        <v/>
      </c>
      <c r="V7" s="10">
        <f>COUNTIFS('Matriz Equipo'!$D$2:$D$626,$D7,'Matriz Equipo'!$J$2:$J$626,"Vitest frontend")</f>
        <v/>
      </c>
      <c r="W7" s="10">
        <f>COUNTIFS('Matriz Equipo'!$D$2:$D$626,$D7)</f>
        <v/>
      </c>
      <c r="X7" s="10">
        <f>COUNTIFS('Matriz Equipo'!$D$2:$D$626,$D7,'Matriz Equipo'!$N$2:$N$626,"Aprobado")</f>
        <v/>
      </c>
      <c r="Y7" s="10">
        <f>COUNTIFS('Matriz Equipo'!$D$2:$D$626,$D7,'Matriz Equipo'!$N$2:$N$626,"Aprobado (reportado)")</f>
        <v/>
      </c>
      <c r="Z7" s="10">
        <f>COUNTIFS('Matriz Equipo'!$D$2:$D$626,$D7,'Matriz Equipo'!$N$2:$N$626,"Fallido")</f>
        <v/>
      </c>
      <c r="AA7" s="10">
        <f>W7-X7-Y7-Z7</f>
        <v/>
      </c>
      <c r="AB7" s="11">
        <f>IF(W7=0,0,(X7+Y7)/W7)</f>
        <v/>
      </c>
    </row>
    <row r="8">
      <c r="A8" s="10" t="inlineStr">
        <is>
          <t>Andrés Bedoya</t>
        </is>
      </c>
      <c r="B8" s="10" t="inlineStr">
        <is>
          <t>Créditos</t>
        </is>
      </c>
      <c r="C8" s="10" t="inlineStr">
        <is>
          <t>HU-27</t>
        </is>
      </c>
      <c r="D8" s="10" t="inlineStr">
        <is>
          <t>Simulación de crédito</t>
        </is>
      </c>
      <c r="E8" s="10">
        <f>COUNTIFS('Matriz Equipo'!$D$2:$D$626,$D8,'Matriz Equipo'!$J$2:$J$626,"Casos del Excel (diseño + ejecución manual)")</f>
        <v/>
      </c>
      <c r="F8" s="10">
        <f>COUNTIFS('Matriz Equipo'!$D$2:$D$626,$D8,'Matriz Equipo'!$J$2:$J$626,"Cypress (Créditos, mocks)")</f>
        <v/>
      </c>
      <c r="G8" s="10">
        <f>COUNTIFS('Matriz Equipo'!$D$2:$D$626,$D8,'Matriz Equipo'!$J$2:$J$626,"Cypress (Usuarios y Retiro, Tomás)")</f>
        <v/>
      </c>
      <c r="H8" s="10">
        <f>COUNTIFS('Matriz Equipo'!$D$2:$D$626,$D8,'Matriz Equipo'!$J$2:$J$626,"Cypress + Gherkin (Bolsillos)")</f>
        <v/>
      </c>
      <c r="I8" s="10">
        <f>COUNTIFS('Matriz Equipo'!$D$2:$D$626,$D8,'Matriz Equipo'!$J$2:$J$626,"IA · Cypress Cloud + cy.prompt (Andrés)")</f>
        <v/>
      </c>
      <c r="J8" s="10">
        <f>COUNTIFS('Matriz Equipo'!$D$2:$D$626,$D8,'Matriz Equipo'!$J$2:$J$626,"IA · Keploy (Alejandro)")</f>
        <v/>
      </c>
      <c r="K8" s="10">
        <f>COUNTIFS('Matriz Equipo'!$D$2:$D$626,$D8,'Matriz Equipo'!$J$2:$J$626,"IA · Playwright MCP (Andrés)")</f>
        <v/>
      </c>
      <c r="L8" s="10">
        <f>COUNTIFS('Matriz Equipo'!$D$2:$D$626,$D8,'Matriz Equipo'!$J$2:$J$626,"IA · Playwright Test Agents (Alejandro)")</f>
        <v/>
      </c>
      <c r="M8" s="10">
        <f>COUNTIFS('Matriz Equipo'!$D$2:$D$626,$D8,'Matriz Equipo'!$J$2:$J$626,"IA · Postman + Newman (Alejandro)")</f>
        <v/>
      </c>
      <c r="N8" s="10">
        <f>COUNTIFS('Matriz Equipo'!$D$2:$D$626,$D8,'Matriz Equipo'!$J$2:$J$626,"IA · ReportPortal (Andrés)")</f>
        <v/>
      </c>
      <c r="O8" s="10">
        <f>COUNTIFS('Matriz Equipo'!$D$2:$D$626,$D8,'Matriz Equipo'!$J$2:$J$626,"Katalon Recorder")</f>
        <v/>
      </c>
      <c r="P8" s="10">
        <f>COUNTIFS('Matriz Equipo'!$D$2:$D$626,$D8,'Matriz Equipo'!$J$2:$J$626,"Serenity/JS Screenplay + Gherkin")</f>
        <v/>
      </c>
      <c r="Q8" s="10">
        <f>COUNTIFS('Matriz Equipo'!$D$2:$D$626,$D8,'Matriz Equipo'!$J$2:$J$626,"Stagehand (Gemini, Andrés)")</f>
        <v/>
      </c>
      <c r="R8" s="10">
        <f>COUNTIFS('Matriz Equipo'!$D$2:$D$626,$D8,'Matriz Equipo'!$J$2:$J$626,"Stagehand (Tomás)")</f>
        <v/>
      </c>
      <c r="S8" s="10">
        <f>COUNTIFS('Matriz Equipo'!$D$2:$D$626,$D8,'Matriz Equipo'!$J$2:$J$626,"Stagehand (google/gemini-3.5-flash)")</f>
        <v/>
      </c>
      <c r="T8" s="10">
        <f>COUNTIFS('Matriz Equipo'!$D$2:$D$626,$D8,'Matriz Equipo'!$J$2:$J$626,"Stagehand (google/gemini-3.5-flash-lite)")</f>
        <v/>
      </c>
      <c r="U8" s="10">
        <f>COUNTIFS('Matriz Equipo'!$D$2:$D$626,$D8,'Matriz Equipo'!$J$2:$J$626,"Vitest backend")</f>
        <v/>
      </c>
      <c r="V8" s="10">
        <f>COUNTIFS('Matriz Equipo'!$D$2:$D$626,$D8,'Matriz Equipo'!$J$2:$J$626,"Vitest frontend")</f>
        <v/>
      </c>
      <c r="W8" s="10">
        <f>COUNTIFS('Matriz Equipo'!$D$2:$D$626,$D8)</f>
        <v/>
      </c>
      <c r="X8" s="10">
        <f>COUNTIFS('Matriz Equipo'!$D$2:$D$626,$D8,'Matriz Equipo'!$N$2:$N$626,"Aprobado")</f>
        <v/>
      </c>
      <c r="Y8" s="10">
        <f>COUNTIFS('Matriz Equipo'!$D$2:$D$626,$D8,'Matriz Equipo'!$N$2:$N$626,"Aprobado (reportado)")</f>
        <v/>
      </c>
      <c r="Z8" s="10">
        <f>COUNTIFS('Matriz Equipo'!$D$2:$D$626,$D8,'Matriz Equipo'!$N$2:$N$626,"Fallido")</f>
        <v/>
      </c>
      <c r="AA8" s="10">
        <f>W8-X8-Y8-Z8</f>
        <v/>
      </c>
      <c r="AB8" s="11">
        <f>IF(W8=0,0,(X8+Y8)/W8)</f>
        <v/>
      </c>
    </row>
    <row r="9">
      <c r="A9" s="10" t="inlineStr">
        <is>
          <t>Andrés Bedoya</t>
        </is>
      </c>
      <c r="B9" s="10" t="inlineStr">
        <is>
          <t>Créditos</t>
        </is>
      </c>
      <c r="C9" s="10" t="inlineStr">
        <is>
          <t>HU-28</t>
        </is>
      </c>
      <c r="D9" s="10" t="inlineStr">
        <is>
          <t>Solicitud de préstamo</t>
        </is>
      </c>
      <c r="E9" s="10">
        <f>COUNTIFS('Matriz Equipo'!$D$2:$D$626,$D9,'Matriz Equipo'!$J$2:$J$626,"Casos del Excel (diseño + ejecución manual)")</f>
        <v/>
      </c>
      <c r="F9" s="10">
        <f>COUNTIFS('Matriz Equipo'!$D$2:$D$626,$D9,'Matriz Equipo'!$J$2:$J$626,"Cypress (Créditos, mocks)")</f>
        <v/>
      </c>
      <c r="G9" s="10">
        <f>COUNTIFS('Matriz Equipo'!$D$2:$D$626,$D9,'Matriz Equipo'!$J$2:$J$626,"Cypress (Usuarios y Retiro, Tomás)")</f>
        <v/>
      </c>
      <c r="H9" s="10">
        <f>COUNTIFS('Matriz Equipo'!$D$2:$D$626,$D9,'Matriz Equipo'!$J$2:$J$626,"Cypress + Gherkin (Bolsillos)")</f>
        <v/>
      </c>
      <c r="I9" s="10">
        <f>COUNTIFS('Matriz Equipo'!$D$2:$D$626,$D9,'Matriz Equipo'!$J$2:$J$626,"IA · Cypress Cloud + cy.prompt (Andrés)")</f>
        <v/>
      </c>
      <c r="J9" s="10">
        <f>COUNTIFS('Matriz Equipo'!$D$2:$D$626,$D9,'Matriz Equipo'!$J$2:$J$626,"IA · Keploy (Alejandro)")</f>
        <v/>
      </c>
      <c r="K9" s="10">
        <f>COUNTIFS('Matriz Equipo'!$D$2:$D$626,$D9,'Matriz Equipo'!$J$2:$J$626,"IA · Playwright MCP (Andrés)")</f>
        <v/>
      </c>
      <c r="L9" s="10">
        <f>COUNTIFS('Matriz Equipo'!$D$2:$D$626,$D9,'Matriz Equipo'!$J$2:$J$626,"IA · Playwright Test Agents (Alejandro)")</f>
        <v/>
      </c>
      <c r="M9" s="10">
        <f>COUNTIFS('Matriz Equipo'!$D$2:$D$626,$D9,'Matriz Equipo'!$J$2:$J$626,"IA · Postman + Newman (Alejandro)")</f>
        <v/>
      </c>
      <c r="N9" s="10">
        <f>COUNTIFS('Matriz Equipo'!$D$2:$D$626,$D9,'Matriz Equipo'!$J$2:$J$626,"IA · ReportPortal (Andrés)")</f>
        <v/>
      </c>
      <c r="O9" s="10">
        <f>COUNTIFS('Matriz Equipo'!$D$2:$D$626,$D9,'Matriz Equipo'!$J$2:$J$626,"Katalon Recorder")</f>
        <v/>
      </c>
      <c r="P9" s="10">
        <f>COUNTIFS('Matriz Equipo'!$D$2:$D$626,$D9,'Matriz Equipo'!$J$2:$J$626,"Serenity/JS Screenplay + Gherkin")</f>
        <v/>
      </c>
      <c r="Q9" s="10">
        <f>COUNTIFS('Matriz Equipo'!$D$2:$D$626,$D9,'Matriz Equipo'!$J$2:$J$626,"Stagehand (Gemini, Andrés)")</f>
        <v/>
      </c>
      <c r="R9" s="10">
        <f>COUNTIFS('Matriz Equipo'!$D$2:$D$626,$D9,'Matriz Equipo'!$J$2:$J$626,"Stagehand (Tomás)")</f>
        <v/>
      </c>
      <c r="S9" s="10">
        <f>COUNTIFS('Matriz Equipo'!$D$2:$D$626,$D9,'Matriz Equipo'!$J$2:$J$626,"Stagehand (google/gemini-3.5-flash)")</f>
        <v/>
      </c>
      <c r="T9" s="10">
        <f>COUNTIFS('Matriz Equipo'!$D$2:$D$626,$D9,'Matriz Equipo'!$J$2:$J$626,"Stagehand (google/gemini-3.5-flash-lite)")</f>
        <v/>
      </c>
      <c r="U9" s="10">
        <f>COUNTIFS('Matriz Equipo'!$D$2:$D$626,$D9,'Matriz Equipo'!$J$2:$J$626,"Vitest backend")</f>
        <v/>
      </c>
      <c r="V9" s="10">
        <f>COUNTIFS('Matriz Equipo'!$D$2:$D$626,$D9,'Matriz Equipo'!$J$2:$J$626,"Vitest frontend")</f>
        <v/>
      </c>
      <c r="W9" s="10">
        <f>COUNTIFS('Matriz Equipo'!$D$2:$D$626,$D9)</f>
        <v/>
      </c>
      <c r="X9" s="10">
        <f>COUNTIFS('Matriz Equipo'!$D$2:$D$626,$D9,'Matriz Equipo'!$N$2:$N$626,"Aprobado")</f>
        <v/>
      </c>
      <c r="Y9" s="10">
        <f>COUNTIFS('Matriz Equipo'!$D$2:$D$626,$D9,'Matriz Equipo'!$N$2:$N$626,"Aprobado (reportado)")</f>
        <v/>
      </c>
      <c r="Z9" s="10">
        <f>COUNTIFS('Matriz Equipo'!$D$2:$D$626,$D9,'Matriz Equipo'!$N$2:$N$626,"Fallido")</f>
        <v/>
      </c>
      <c r="AA9" s="10">
        <f>W9-X9-Y9-Z9</f>
        <v/>
      </c>
      <c r="AB9" s="11">
        <f>IF(W9=0,0,(X9+Y9)/W9)</f>
        <v/>
      </c>
    </row>
    <row r="10">
      <c r="A10" s="10" t="inlineStr">
        <is>
          <t>Andrés Bedoya</t>
        </is>
      </c>
      <c r="B10" s="10" t="inlineStr">
        <is>
          <t>Créditos</t>
        </is>
      </c>
      <c r="C10" s="10" t="inlineStr">
        <is>
          <t>HU-29</t>
        </is>
      </c>
      <c r="D10" s="10" t="inlineStr">
        <is>
          <t>Historial de solicitudes</t>
        </is>
      </c>
      <c r="E10" s="10">
        <f>COUNTIFS('Matriz Equipo'!$D$2:$D$626,$D10,'Matriz Equipo'!$J$2:$J$626,"Casos del Excel (diseño + ejecución manual)")</f>
        <v/>
      </c>
      <c r="F10" s="10">
        <f>COUNTIFS('Matriz Equipo'!$D$2:$D$626,$D10,'Matriz Equipo'!$J$2:$J$626,"Cypress (Créditos, mocks)")</f>
        <v/>
      </c>
      <c r="G10" s="10">
        <f>COUNTIFS('Matriz Equipo'!$D$2:$D$626,$D10,'Matriz Equipo'!$J$2:$J$626,"Cypress (Usuarios y Retiro, Tomás)")</f>
        <v/>
      </c>
      <c r="H10" s="10">
        <f>COUNTIFS('Matriz Equipo'!$D$2:$D$626,$D10,'Matriz Equipo'!$J$2:$J$626,"Cypress + Gherkin (Bolsillos)")</f>
        <v/>
      </c>
      <c r="I10" s="10">
        <f>COUNTIFS('Matriz Equipo'!$D$2:$D$626,$D10,'Matriz Equipo'!$J$2:$J$626,"IA · Cypress Cloud + cy.prompt (Andrés)")</f>
        <v/>
      </c>
      <c r="J10" s="10">
        <f>COUNTIFS('Matriz Equipo'!$D$2:$D$626,$D10,'Matriz Equipo'!$J$2:$J$626,"IA · Keploy (Alejandro)")</f>
        <v/>
      </c>
      <c r="K10" s="10">
        <f>COUNTIFS('Matriz Equipo'!$D$2:$D$626,$D10,'Matriz Equipo'!$J$2:$J$626,"IA · Playwright MCP (Andrés)")</f>
        <v/>
      </c>
      <c r="L10" s="10">
        <f>COUNTIFS('Matriz Equipo'!$D$2:$D$626,$D10,'Matriz Equipo'!$J$2:$J$626,"IA · Playwright Test Agents (Alejandro)")</f>
        <v/>
      </c>
      <c r="M10" s="10">
        <f>COUNTIFS('Matriz Equipo'!$D$2:$D$626,$D10,'Matriz Equipo'!$J$2:$J$626,"IA · Postman + Newman (Alejandro)")</f>
        <v/>
      </c>
      <c r="N10" s="10">
        <f>COUNTIFS('Matriz Equipo'!$D$2:$D$626,$D10,'Matriz Equipo'!$J$2:$J$626,"IA · ReportPortal (Andrés)")</f>
        <v/>
      </c>
      <c r="O10" s="10">
        <f>COUNTIFS('Matriz Equipo'!$D$2:$D$626,$D10,'Matriz Equipo'!$J$2:$J$626,"Katalon Recorder")</f>
        <v/>
      </c>
      <c r="P10" s="10">
        <f>COUNTIFS('Matriz Equipo'!$D$2:$D$626,$D10,'Matriz Equipo'!$J$2:$J$626,"Serenity/JS Screenplay + Gherkin")</f>
        <v/>
      </c>
      <c r="Q10" s="10">
        <f>COUNTIFS('Matriz Equipo'!$D$2:$D$626,$D10,'Matriz Equipo'!$J$2:$J$626,"Stagehand (Gemini, Andrés)")</f>
        <v/>
      </c>
      <c r="R10" s="10">
        <f>COUNTIFS('Matriz Equipo'!$D$2:$D$626,$D10,'Matriz Equipo'!$J$2:$J$626,"Stagehand (Tomás)")</f>
        <v/>
      </c>
      <c r="S10" s="10">
        <f>COUNTIFS('Matriz Equipo'!$D$2:$D$626,$D10,'Matriz Equipo'!$J$2:$J$626,"Stagehand (google/gemini-3.5-flash)")</f>
        <v/>
      </c>
      <c r="T10" s="10">
        <f>COUNTIFS('Matriz Equipo'!$D$2:$D$626,$D10,'Matriz Equipo'!$J$2:$J$626,"Stagehand (google/gemini-3.5-flash-lite)")</f>
        <v/>
      </c>
      <c r="U10" s="10">
        <f>COUNTIFS('Matriz Equipo'!$D$2:$D$626,$D10,'Matriz Equipo'!$J$2:$J$626,"Vitest backend")</f>
        <v/>
      </c>
      <c r="V10" s="10">
        <f>COUNTIFS('Matriz Equipo'!$D$2:$D$626,$D10,'Matriz Equipo'!$J$2:$J$626,"Vitest frontend")</f>
        <v/>
      </c>
      <c r="W10" s="10">
        <f>COUNTIFS('Matriz Equipo'!$D$2:$D$626,$D10)</f>
        <v/>
      </c>
      <c r="X10" s="10">
        <f>COUNTIFS('Matriz Equipo'!$D$2:$D$626,$D10,'Matriz Equipo'!$N$2:$N$626,"Aprobado")</f>
        <v/>
      </c>
      <c r="Y10" s="10">
        <f>COUNTIFS('Matriz Equipo'!$D$2:$D$626,$D10,'Matriz Equipo'!$N$2:$N$626,"Aprobado (reportado)")</f>
        <v/>
      </c>
      <c r="Z10" s="10">
        <f>COUNTIFS('Matriz Equipo'!$D$2:$D$626,$D10,'Matriz Equipo'!$N$2:$N$626,"Fallido")</f>
        <v/>
      </c>
      <c r="AA10" s="10">
        <f>W10-X10-Y10-Z10</f>
        <v/>
      </c>
      <c r="AB10" s="11">
        <f>IF(W10=0,0,(X10+Y10)/W10)</f>
        <v/>
      </c>
    </row>
    <row r="11">
      <c r="A11" s="10" t="inlineStr">
        <is>
          <t>Andrés Bedoya</t>
        </is>
      </c>
      <c r="B11" s="10" t="inlineStr">
        <is>
          <t>Créditos</t>
        </is>
      </c>
      <c r="C11" s="10" t="inlineStr">
        <is>
          <t>HU-31</t>
        </is>
      </c>
      <c r="D11" s="10" t="inlineStr">
        <is>
          <t>Aceptar solicitud de préstamo</t>
        </is>
      </c>
      <c r="E11" s="10">
        <f>COUNTIFS('Matriz Equipo'!$D$2:$D$626,$D11,'Matriz Equipo'!$J$2:$J$626,"Casos del Excel (diseño + ejecución manual)")</f>
        <v/>
      </c>
      <c r="F11" s="10">
        <f>COUNTIFS('Matriz Equipo'!$D$2:$D$626,$D11,'Matriz Equipo'!$J$2:$J$626,"Cypress (Créditos, mocks)")</f>
        <v/>
      </c>
      <c r="G11" s="10">
        <f>COUNTIFS('Matriz Equipo'!$D$2:$D$626,$D11,'Matriz Equipo'!$J$2:$J$626,"Cypress (Usuarios y Retiro, Tomás)")</f>
        <v/>
      </c>
      <c r="H11" s="10">
        <f>COUNTIFS('Matriz Equipo'!$D$2:$D$626,$D11,'Matriz Equipo'!$J$2:$J$626,"Cypress + Gherkin (Bolsillos)")</f>
        <v/>
      </c>
      <c r="I11" s="10">
        <f>COUNTIFS('Matriz Equipo'!$D$2:$D$626,$D11,'Matriz Equipo'!$J$2:$J$626,"IA · Cypress Cloud + cy.prompt (Andrés)")</f>
        <v/>
      </c>
      <c r="J11" s="10">
        <f>COUNTIFS('Matriz Equipo'!$D$2:$D$626,$D11,'Matriz Equipo'!$J$2:$J$626,"IA · Keploy (Alejandro)")</f>
        <v/>
      </c>
      <c r="K11" s="10">
        <f>COUNTIFS('Matriz Equipo'!$D$2:$D$626,$D11,'Matriz Equipo'!$J$2:$J$626,"IA · Playwright MCP (Andrés)")</f>
        <v/>
      </c>
      <c r="L11" s="10">
        <f>COUNTIFS('Matriz Equipo'!$D$2:$D$626,$D11,'Matriz Equipo'!$J$2:$J$626,"IA · Playwright Test Agents (Alejandro)")</f>
        <v/>
      </c>
      <c r="M11" s="10">
        <f>COUNTIFS('Matriz Equipo'!$D$2:$D$626,$D11,'Matriz Equipo'!$J$2:$J$626,"IA · Postman + Newman (Alejandro)")</f>
        <v/>
      </c>
      <c r="N11" s="10">
        <f>COUNTIFS('Matriz Equipo'!$D$2:$D$626,$D11,'Matriz Equipo'!$J$2:$J$626,"IA · ReportPortal (Andrés)")</f>
        <v/>
      </c>
      <c r="O11" s="10">
        <f>COUNTIFS('Matriz Equipo'!$D$2:$D$626,$D11,'Matriz Equipo'!$J$2:$J$626,"Katalon Recorder")</f>
        <v/>
      </c>
      <c r="P11" s="10">
        <f>COUNTIFS('Matriz Equipo'!$D$2:$D$626,$D11,'Matriz Equipo'!$J$2:$J$626,"Serenity/JS Screenplay + Gherkin")</f>
        <v/>
      </c>
      <c r="Q11" s="10">
        <f>COUNTIFS('Matriz Equipo'!$D$2:$D$626,$D11,'Matriz Equipo'!$J$2:$J$626,"Stagehand (Gemini, Andrés)")</f>
        <v/>
      </c>
      <c r="R11" s="10">
        <f>COUNTIFS('Matriz Equipo'!$D$2:$D$626,$D11,'Matriz Equipo'!$J$2:$J$626,"Stagehand (Tomás)")</f>
        <v/>
      </c>
      <c r="S11" s="10">
        <f>COUNTIFS('Matriz Equipo'!$D$2:$D$626,$D11,'Matriz Equipo'!$J$2:$J$626,"Stagehand (google/gemini-3.5-flash)")</f>
        <v/>
      </c>
      <c r="T11" s="10">
        <f>COUNTIFS('Matriz Equipo'!$D$2:$D$626,$D11,'Matriz Equipo'!$J$2:$J$626,"Stagehand (google/gemini-3.5-flash-lite)")</f>
        <v/>
      </c>
      <c r="U11" s="10">
        <f>COUNTIFS('Matriz Equipo'!$D$2:$D$626,$D11,'Matriz Equipo'!$J$2:$J$626,"Vitest backend")</f>
        <v/>
      </c>
      <c r="V11" s="10">
        <f>COUNTIFS('Matriz Equipo'!$D$2:$D$626,$D11,'Matriz Equipo'!$J$2:$J$626,"Vitest frontend")</f>
        <v/>
      </c>
      <c r="W11" s="10">
        <f>COUNTIFS('Matriz Equipo'!$D$2:$D$626,$D11)</f>
        <v/>
      </c>
      <c r="X11" s="10">
        <f>COUNTIFS('Matriz Equipo'!$D$2:$D$626,$D11,'Matriz Equipo'!$N$2:$N$626,"Aprobado")</f>
        <v/>
      </c>
      <c r="Y11" s="10">
        <f>COUNTIFS('Matriz Equipo'!$D$2:$D$626,$D11,'Matriz Equipo'!$N$2:$N$626,"Aprobado (reportado)")</f>
        <v/>
      </c>
      <c r="Z11" s="10">
        <f>COUNTIFS('Matriz Equipo'!$D$2:$D$626,$D11,'Matriz Equipo'!$N$2:$N$626,"Fallido")</f>
        <v/>
      </c>
      <c r="AA11" s="10">
        <f>W11-X11-Y11-Z11</f>
        <v/>
      </c>
      <c r="AB11" s="11">
        <f>IF(W11=0,0,(X11+Y11)/W11)</f>
        <v/>
      </c>
    </row>
    <row r="12">
      <c r="A12" s="10" t="inlineStr">
        <is>
          <t>Andrés Bedoya</t>
        </is>
      </c>
      <c r="B12" s="10" t="inlineStr">
        <is>
          <t>Créditos</t>
        </is>
      </c>
      <c r="C12" s="10" t="inlineStr">
        <is>
          <t>HU-32</t>
        </is>
      </c>
      <c r="D12" s="10" t="inlineStr">
        <is>
          <t>Rechazar solicitud de préstamo</t>
        </is>
      </c>
      <c r="E12" s="10">
        <f>COUNTIFS('Matriz Equipo'!$D$2:$D$626,$D12,'Matriz Equipo'!$J$2:$J$626,"Casos del Excel (diseño + ejecución manual)")</f>
        <v/>
      </c>
      <c r="F12" s="10">
        <f>COUNTIFS('Matriz Equipo'!$D$2:$D$626,$D12,'Matriz Equipo'!$J$2:$J$626,"Cypress (Créditos, mocks)")</f>
        <v/>
      </c>
      <c r="G12" s="10">
        <f>COUNTIFS('Matriz Equipo'!$D$2:$D$626,$D12,'Matriz Equipo'!$J$2:$J$626,"Cypress (Usuarios y Retiro, Tomás)")</f>
        <v/>
      </c>
      <c r="H12" s="10">
        <f>COUNTIFS('Matriz Equipo'!$D$2:$D$626,$D12,'Matriz Equipo'!$J$2:$J$626,"Cypress + Gherkin (Bolsillos)")</f>
        <v/>
      </c>
      <c r="I12" s="10">
        <f>COUNTIFS('Matriz Equipo'!$D$2:$D$626,$D12,'Matriz Equipo'!$J$2:$J$626,"IA · Cypress Cloud + cy.prompt (Andrés)")</f>
        <v/>
      </c>
      <c r="J12" s="10">
        <f>COUNTIFS('Matriz Equipo'!$D$2:$D$626,$D12,'Matriz Equipo'!$J$2:$J$626,"IA · Keploy (Alejandro)")</f>
        <v/>
      </c>
      <c r="K12" s="10">
        <f>COUNTIFS('Matriz Equipo'!$D$2:$D$626,$D12,'Matriz Equipo'!$J$2:$J$626,"IA · Playwright MCP (Andrés)")</f>
        <v/>
      </c>
      <c r="L12" s="10">
        <f>COUNTIFS('Matriz Equipo'!$D$2:$D$626,$D12,'Matriz Equipo'!$J$2:$J$626,"IA · Playwright Test Agents (Alejandro)")</f>
        <v/>
      </c>
      <c r="M12" s="10">
        <f>COUNTIFS('Matriz Equipo'!$D$2:$D$626,$D12,'Matriz Equipo'!$J$2:$J$626,"IA · Postman + Newman (Alejandro)")</f>
        <v/>
      </c>
      <c r="N12" s="10">
        <f>COUNTIFS('Matriz Equipo'!$D$2:$D$626,$D12,'Matriz Equipo'!$J$2:$J$626,"IA · ReportPortal (Andrés)")</f>
        <v/>
      </c>
      <c r="O12" s="10">
        <f>COUNTIFS('Matriz Equipo'!$D$2:$D$626,$D12,'Matriz Equipo'!$J$2:$J$626,"Katalon Recorder")</f>
        <v/>
      </c>
      <c r="P12" s="10">
        <f>COUNTIFS('Matriz Equipo'!$D$2:$D$626,$D12,'Matriz Equipo'!$J$2:$J$626,"Serenity/JS Screenplay + Gherkin")</f>
        <v/>
      </c>
      <c r="Q12" s="10">
        <f>COUNTIFS('Matriz Equipo'!$D$2:$D$626,$D12,'Matriz Equipo'!$J$2:$J$626,"Stagehand (Gemini, Andrés)")</f>
        <v/>
      </c>
      <c r="R12" s="10">
        <f>COUNTIFS('Matriz Equipo'!$D$2:$D$626,$D12,'Matriz Equipo'!$J$2:$J$626,"Stagehand (Tomás)")</f>
        <v/>
      </c>
      <c r="S12" s="10">
        <f>COUNTIFS('Matriz Equipo'!$D$2:$D$626,$D12,'Matriz Equipo'!$J$2:$J$626,"Stagehand (google/gemini-3.5-flash)")</f>
        <v/>
      </c>
      <c r="T12" s="10">
        <f>COUNTIFS('Matriz Equipo'!$D$2:$D$626,$D12,'Matriz Equipo'!$J$2:$J$626,"Stagehand (google/gemini-3.5-flash-lite)")</f>
        <v/>
      </c>
      <c r="U12" s="10">
        <f>COUNTIFS('Matriz Equipo'!$D$2:$D$626,$D12,'Matriz Equipo'!$J$2:$J$626,"Vitest backend")</f>
        <v/>
      </c>
      <c r="V12" s="10">
        <f>COUNTIFS('Matriz Equipo'!$D$2:$D$626,$D12,'Matriz Equipo'!$J$2:$J$626,"Vitest frontend")</f>
        <v/>
      </c>
      <c r="W12" s="10">
        <f>COUNTIFS('Matriz Equipo'!$D$2:$D$626,$D12)</f>
        <v/>
      </c>
      <c r="X12" s="10">
        <f>COUNTIFS('Matriz Equipo'!$D$2:$D$626,$D12,'Matriz Equipo'!$N$2:$N$626,"Aprobado")</f>
        <v/>
      </c>
      <c r="Y12" s="10">
        <f>COUNTIFS('Matriz Equipo'!$D$2:$D$626,$D12,'Matriz Equipo'!$N$2:$N$626,"Aprobado (reportado)")</f>
        <v/>
      </c>
      <c r="Z12" s="10">
        <f>COUNTIFS('Matriz Equipo'!$D$2:$D$626,$D12,'Matriz Equipo'!$N$2:$N$626,"Fallido")</f>
        <v/>
      </c>
      <c r="AA12" s="10">
        <f>W12-X12-Y12-Z12</f>
        <v/>
      </c>
      <c r="AB12" s="11">
        <f>IF(W12=0,0,(X12+Y12)/W12)</f>
        <v/>
      </c>
    </row>
    <row r="13">
      <c r="A13" s="10" t="inlineStr">
        <is>
          <t>Stiven Alejandro Bustamante</t>
        </is>
      </c>
      <c r="B13" s="10" t="inlineStr">
        <is>
          <t>Bolsillos</t>
        </is>
      </c>
      <c r="C13" s="10" t="inlineStr">
        <is>
          <t>HU-23</t>
        </is>
      </c>
      <c r="D13" s="10" t="inlineStr">
        <is>
          <t>Crear bolsillo</t>
        </is>
      </c>
      <c r="E13" s="10">
        <f>COUNTIFS('Matriz Equipo'!$D$2:$D$626,$D13,'Matriz Equipo'!$J$2:$J$626,"Casos del Excel (diseño + ejecución manual)")</f>
        <v/>
      </c>
      <c r="F13" s="10">
        <f>COUNTIFS('Matriz Equipo'!$D$2:$D$626,$D13,'Matriz Equipo'!$J$2:$J$626,"Cypress (Créditos, mocks)")</f>
        <v/>
      </c>
      <c r="G13" s="10">
        <f>COUNTIFS('Matriz Equipo'!$D$2:$D$626,$D13,'Matriz Equipo'!$J$2:$J$626,"Cypress (Usuarios y Retiro, Tomás)")</f>
        <v/>
      </c>
      <c r="H13" s="10">
        <f>COUNTIFS('Matriz Equipo'!$D$2:$D$626,$D13,'Matriz Equipo'!$J$2:$J$626,"Cypress + Gherkin (Bolsillos)")</f>
        <v/>
      </c>
      <c r="I13" s="10">
        <f>COUNTIFS('Matriz Equipo'!$D$2:$D$626,$D13,'Matriz Equipo'!$J$2:$J$626,"IA · Cypress Cloud + cy.prompt (Andrés)")</f>
        <v/>
      </c>
      <c r="J13" s="10">
        <f>COUNTIFS('Matriz Equipo'!$D$2:$D$626,$D13,'Matriz Equipo'!$J$2:$J$626,"IA · Keploy (Alejandro)")</f>
        <v/>
      </c>
      <c r="K13" s="10">
        <f>COUNTIFS('Matriz Equipo'!$D$2:$D$626,$D13,'Matriz Equipo'!$J$2:$J$626,"IA · Playwright MCP (Andrés)")</f>
        <v/>
      </c>
      <c r="L13" s="10">
        <f>COUNTIFS('Matriz Equipo'!$D$2:$D$626,$D13,'Matriz Equipo'!$J$2:$J$626,"IA · Playwright Test Agents (Alejandro)")</f>
        <v/>
      </c>
      <c r="M13" s="10">
        <f>COUNTIFS('Matriz Equipo'!$D$2:$D$626,$D13,'Matriz Equipo'!$J$2:$J$626,"IA · Postman + Newman (Alejandro)")</f>
        <v/>
      </c>
      <c r="N13" s="10">
        <f>COUNTIFS('Matriz Equipo'!$D$2:$D$626,$D13,'Matriz Equipo'!$J$2:$J$626,"IA · ReportPortal (Andrés)")</f>
        <v/>
      </c>
      <c r="O13" s="10">
        <f>COUNTIFS('Matriz Equipo'!$D$2:$D$626,$D13,'Matriz Equipo'!$J$2:$J$626,"Katalon Recorder")</f>
        <v/>
      </c>
      <c r="P13" s="10">
        <f>COUNTIFS('Matriz Equipo'!$D$2:$D$626,$D13,'Matriz Equipo'!$J$2:$J$626,"Serenity/JS Screenplay + Gherkin")</f>
        <v/>
      </c>
      <c r="Q13" s="10">
        <f>COUNTIFS('Matriz Equipo'!$D$2:$D$626,$D13,'Matriz Equipo'!$J$2:$J$626,"Stagehand (Gemini, Andrés)")</f>
        <v/>
      </c>
      <c r="R13" s="10">
        <f>COUNTIFS('Matriz Equipo'!$D$2:$D$626,$D13,'Matriz Equipo'!$J$2:$J$626,"Stagehand (Tomás)")</f>
        <v/>
      </c>
      <c r="S13" s="10">
        <f>COUNTIFS('Matriz Equipo'!$D$2:$D$626,$D13,'Matriz Equipo'!$J$2:$J$626,"Stagehand (google/gemini-3.5-flash)")</f>
        <v/>
      </c>
      <c r="T13" s="10">
        <f>COUNTIFS('Matriz Equipo'!$D$2:$D$626,$D13,'Matriz Equipo'!$J$2:$J$626,"Stagehand (google/gemini-3.5-flash-lite)")</f>
        <v/>
      </c>
      <c r="U13" s="10">
        <f>COUNTIFS('Matriz Equipo'!$D$2:$D$626,$D13,'Matriz Equipo'!$J$2:$J$626,"Vitest backend")</f>
        <v/>
      </c>
      <c r="V13" s="10">
        <f>COUNTIFS('Matriz Equipo'!$D$2:$D$626,$D13,'Matriz Equipo'!$J$2:$J$626,"Vitest frontend")</f>
        <v/>
      </c>
      <c r="W13" s="10">
        <f>COUNTIFS('Matriz Equipo'!$D$2:$D$626,$D13)</f>
        <v/>
      </c>
      <c r="X13" s="10">
        <f>COUNTIFS('Matriz Equipo'!$D$2:$D$626,$D13,'Matriz Equipo'!$N$2:$N$626,"Aprobado")</f>
        <v/>
      </c>
      <c r="Y13" s="10">
        <f>COUNTIFS('Matriz Equipo'!$D$2:$D$626,$D13,'Matriz Equipo'!$N$2:$N$626,"Aprobado (reportado)")</f>
        <v/>
      </c>
      <c r="Z13" s="10">
        <f>COUNTIFS('Matriz Equipo'!$D$2:$D$626,$D13,'Matriz Equipo'!$N$2:$N$626,"Fallido")</f>
        <v/>
      </c>
      <c r="AA13" s="10">
        <f>W13-X13-Y13-Z13</f>
        <v/>
      </c>
      <c r="AB13" s="11">
        <f>IF(W13=0,0,(X13+Y13)/W13)</f>
        <v/>
      </c>
    </row>
    <row r="14">
      <c r="A14" s="10" t="inlineStr">
        <is>
          <t>Stiven Alejandro Bustamante</t>
        </is>
      </c>
      <c r="B14" s="10" t="inlineStr">
        <is>
          <t>Bolsillos</t>
        </is>
      </c>
      <c r="C14" s="10" t="inlineStr">
        <is>
          <t>HU-24</t>
        </is>
      </c>
      <c r="D14" s="10" t="inlineStr">
        <is>
          <t>Consultar bolsillos</t>
        </is>
      </c>
      <c r="E14" s="10">
        <f>COUNTIFS('Matriz Equipo'!$D$2:$D$626,$D14,'Matriz Equipo'!$J$2:$J$626,"Casos del Excel (diseño + ejecución manual)")</f>
        <v/>
      </c>
      <c r="F14" s="10">
        <f>COUNTIFS('Matriz Equipo'!$D$2:$D$626,$D14,'Matriz Equipo'!$J$2:$J$626,"Cypress (Créditos, mocks)")</f>
        <v/>
      </c>
      <c r="G14" s="10">
        <f>COUNTIFS('Matriz Equipo'!$D$2:$D$626,$D14,'Matriz Equipo'!$J$2:$J$626,"Cypress (Usuarios y Retiro, Tomás)")</f>
        <v/>
      </c>
      <c r="H14" s="10">
        <f>COUNTIFS('Matriz Equipo'!$D$2:$D$626,$D14,'Matriz Equipo'!$J$2:$J$626,"Cypress + Gherkin (Bolsillos)")</f>
        <v/>
      </c>
      <c r="I14" s="10">
        <f>COUNTIFS('Matriz Equipo'!$D$2:$D$626,$D14,'Matriz Equipo'!$J$2:$J$626,"IA · Cypress Cloud + cy.prompt (Andrés)")</f>
        <v/>
      </c>
      <c r="J14" s="10">
        <f>COUNTIFS('Matriz Equipo'!$D$2:$D$626,$D14,'Matriz Equipo'!$J$2:$J$626,"IA · Keploy (Alejandro)")</f>
        <v/>
      </c>
      <c r="K14" s="10">
        <f>COUNTIFS('Matriz Equipo'!$D$2:$D$626,$D14,'Matriz Equipo'!$J$2:$J$626,"IA · Playwright MCP (Andrés)")</f>
        <v/>
      </c>
      <c r="L14" s="10">
        <f>COUNTIFS('Matriz Equipo'!$D$2:$D$626,$D14,'Matriz Equipo'!$J$2:$J$626,"IA · Playwright Test Agents (Alejandro)")</f>
        <v/>
      </c>
      <c r="M14" s="10">
        <f>COUNTIFS('Matriz Equipo'!$D$2:$D$626,$D14,'Matriz Equipo'!$J$2:$J$626,"IA · Postman + Newman (Alejandro)")</f>
        <v/>
      </c>
      <c r="N14" s="10">
        <f>COUNTIFS('Matriz Equipo'!$D$2:$D$626,$D14,'Matriz Equipo'!$J$2:$J$626,"IA · ReportPortal (Andrés)")</f>
        <v/>
      </c>
      <c r="O14" s="10">
        <f>COUNTIFS('Matriz Equipo'!$D$2:$D$626,$D14,'Matriz Equipo'!$J$2:$J$626,"Katalon Recorder")</f>
        <v/>
      </c>
      <c r="P14" s="10">
        <f>COUNTIFS('Matriz Equipo'!$D$2:$D$626,$D14,'Matriz Equipo'!$J$2:$J$626,"Serenity/JS Screenplay + Gherkin")</f>
        <v/>
      </c>
      <c r="Q14" s="10">
        <f>COUNTIFS('Matriz Equipo'!$D$2:$D$626,$D14,'Matriz Equipo'!$J$2:$J$626,"Stagehand (Gemini, Andrés)")</f>
        <v/>
      </c>
      <c r="R14" s="10">
        <f>COUNTIFS('Matriz Equipo'!$D$2:$D$626,$D14,'Matriz Equipo'!$J$2:$J$626,"Stagehand (Tomás)")</f>
        <v/>
      </c>
      <c r="S14" s="10">
        <f>COUNTIFS('Matriz Equipo'!$D$2:$D$626,$D14,'Matriz Equipo'!$J$2:$J$626,"Stagehand (google/gemini-3.5-flash)")</f>
        <v/>
      </c>
      <c r="T14" s="10">
        <f>COUNTIFS('Matriz Equipo'!$D$2:$D$626,$D14,'Matriz Equipo'!$J$2:$J$626,"Stagehand (google/gemini-3.5-flash-lite)")</f>
        <v/>
      </c>
      <c r="U14" s="10">
        <f>COUNTIFS('Matriz Equipo'!$D$2:$D$626,$D14,'Matriz Equipo'!$J$2:$J$626,"Vitest backend")</f>
        <v/>
      </c>
      <c r="V14" s="10">
        <f>COUNTIFS('Matriz Equipo'!$D$2:$D$626,$D14,'Matriz Equipo'!$J$2:$J$626,"Vitest frontend")</f>
        <v/>
      </c>
      <c r="W14" s="10">
        <f>COUNTIFS('Matriz Equipo'!$D$2:$D$626,$D14)</f>
        <v/>
      </c>
      <c r="X14" s="10">
        <f>COUNTIFS('Matriz Equipo'!$D$2:$D$626,$D14,'Matriz Equipo'!$N$2:$N$626,"Aprobado")</f>
        <v/>
      </c>
      <c r="Y14" s="10">
        <f>COUNTIFS('Matriz Equipo'!$D$2:$D$626,$D14,'Matriz Equipo'!$N$2:$N$626,"Aprobado (reportado)")</f>
        <v/>
      </c>
      <c r="Z14" s="10">
        <f>COUNTIFS('Matriz Equipo'!$D$2:$D$626,$D14,'Matriz Equipo'!$N$2:$N$626,"Fallido")</f>
        <v/>
      </c>
      <c r="AA14" s="10">
        <f>W14-X14-Y14-Z14</f>
        <v/>
      </c>
      <c r="AB14" s="11">
        <f>IF(W14=0,0,(X14+Y14)/W14)</f>
        <v/>
      </c>
    </row>
    <row r="15">
      <c r="A15" s="10" t="inlineStr">
        <is>
          <t>Stiven Alejandro Bustamante</t>
        </is>
      </c>
      <c r="B15" s="10" t="inlineStr">
        <is>
          <t>Bolsillos</t>
        </is>
      </c>
      <c r="C15" s="10" t="inlineStr">
        <is>
          <t>HU-24</t>
        </is>
      </c>
      <c r="D15" s="10" t="inlineStr">
        <is>
          <t>Editar bolsillo</t>
        </is>
      </c>
      <c r="E15" s="10">
        <f>COUNTIFS('Matriz Equipo'!$D$2:$D$626,$D15,'Matriz Equipo'!$J$2:$J$626,"Casos del Excel (diseño + ejecución manual)")</f>
        <v/>
      </c>
      <c r="F15" s="10">
        <f>COUNTIFS('Matriz Equipo'!$D$2:$D$626,$D15,'Matriz Equipo'!$J$2:$J$626,"Cypress (Créditos, mocks)")</f>
        <v/>
      </c>
      <c r="G15" s="10">
        <f>COUNTIFS('Matriz Equipo'!$D$2:$D$626,$D15,'Matriz Equipo'!$J$2:$J$626,"Cypress (Usuarios y Retiro, Tomás)")</f>
        <v/>
      </c>
      <c r="H15" s="10">
        <f>COUNTIFS('Matriz Equipo'!$D$2:$D$626,$D15,'Matriz Equipo'!$J$2:$J$626,"Cypress + Gherkin (Bolsillos)")</f>
        <v/>
      </c>
      <c r="I15" s="10">
        <f>COUNTIFS('Matriz Equipo'!$D$2:$D$626,$D15,'Matriz Equipo'!$J$2:$J$626,"IA · Cypress Cloud + cy.prompt (Andrés)")</f>
        <v/>
      </c>
      <c r="J15" s="10">
        <f>COUNTIFS('Matriz Equipo'!$D$2:$D$626,$D15,'Matriz Equipo'!$J$2:$J$626,"IA · Keploy (Alejandro)")</f>
        <v/>
      </c>
      <c r="K15" s="10">
        <f>COUNTIFS('Matriz Equipo'!$D$2:$D$626,$D15,'Matriz Equipo'!$J$2:$J$626,"IA · Playwright MCP (Andrés)")</f>
        <v/>
      </c>
      <c r="L15" s="10">
        <f>COUNTIFS('Matriz Equipo'!$D$2:$D$626,$D15,'Matriz Equipo'!$J$2:$J$626,"IA · Playwright Test Agents (Alejandro)")</f>
        <v/>
      </c>
      <c r="M15" s="10">
        <f>COUNTIFS('Matriz Equipo'!$D$2:$D$626,$D15,'Matriz Equipo'!$J$2:$J$626,"IA · Postman + Newman (Alejandro)")</f>
        <v/>
      </c>
      <c r="N15" s="10">
        <f>COUNTIFS('Matriz Equipo'!$D$2:$D$626,$D15,'Matriz Equipo'!$J$2:$J$626,"IA · ReportPortal (Andrés)")</f>
        <v/>
      </c>
      <c r="O15" s="10">
        <f>COUNTIFS('Matriz Equipo'!$D$2:$D$626,$D15,'Matriz Equipo'!$J$2:$J$626,"Katalon Recorder")</f>
        <v/>
      </c>
      <c r="P15" s="10">
        <f>COUNTIFS('Matriz Equipo'!$D$2:$D$626,$D15,'Matriz Equipo'!$J$2:$J$626,"Serenity/JS Screenplay + Gherkin")</f>
        <v/>
      </c>
      <c r="Q15" s="10">
        <f>COUNTIFS('Matriz Equipo'!$D$2:$D$626,$D15,'Matriz Equipo'!$J$2:$J$626,"Stagehand (Gemini, Andrés)")</f>
        <v/>
      </c>
      <c r="R15" s="10">
        <f>COUNTIFS('Matriz Equipo'!$D$2:$D$626,$D15,'Matriz Equipo'!$J$2:$J$626,"Stagehand (Tomás)")</f>
        <v/>
      </c>
      <c r="S15" s="10">
        <f>COUNTIFS('Matriz Equipo'!$D$2:$D$626,$D15,'Matriz Equipo'!$J$2:$J$626,"Stagehand (google/gemini-3.5-flash)")</f>
        <v/>
      </c>
      <c r="T15" s="10">
        <f>COUNTIFS('Matriz Equipo'!$D$2:$D$626,$D15,'Matriz Equipo'!$J$2:$J$626,"Stagehand (google/gemini-3.5-flash-lite)")</f>
        <v/>
      </c>
      <c r="U15" s="10">
        <f>COUNTIFS('Matriz Equipo'!$D$2:$D$626,$D15,'Matriz Equipo'!$J$2:$J$626,"Vitest backend")</f>
        <v/>
      </c>
      <c r="V15" s="10">
        <f>COUNTIFS('Matriz Equipo'!$D$2:$D$626,$D15,'Matriz Equipo'!$J$2:$J$626,"Vitest frontend")</f>
        <v/>
      </c>
      <c r="W15" s="10">
        <f>COUNTIFS('Matriz Equipo'!$D$2:$D$626,$D15)</f>
        <v/>
      </c>
      <c r="X15" s="10">
        <f>COUNTIFS('Matriz Equipo'!$D$2:$D$626,$D15,'Matriz Equipo'!$N$2:$N$626,"Aprobado")</f>
        <v/>
      </c>
      <c r="Y15" s="10">
        <f>COUNTIFS('Matriz Equipo'!$D$2:$D$626,$D15,'Matriz Equipo'!$N$2:$N$626,"Aprobado (reportado)")</f>
        <v/>
      </c>
      <c r="Z15" s="10">
        <f>COUNTIFS('Matriz Equipo'!$D$2:$D$626,$D15,'Matriz Equipo'!$N$2:$N$626,"Fallido")</f>
        <v/>
      </c>
      <c r="AA15" s="10">
        <f>W15-X15-Y15-Z15</f>
        <v/>
      </c>
      <c r="AB15" s="11">
        <f>IF(W15=0,0,(X15+Y15)/W15)</f>
        <v/>
      </c>
    </row>
    <row r="16">
      <c r="A16" s="10" t="inlineStr">
        <is>
          <t>Stiven Alejandro Bustamante</t>
        </is>
      </c>
      <c r="B16" s="10" t="inlineStr">
        <is>
          <t>Bolsillos</t>
        </is>
      </c>
      <c r="C16" s="10" t="inlineStr">
        <is>
          <t>HU-25</t>
        </is>
      </c>
      <c r="D16" s="10" t="inlineStr">
        <is>
          <t>Eliminar bolsillo</t>
        </is>
      </c>
      <c r="E16" s="10">
        <f>COUNTIFS('Matriz Equipo'!$D$2:$D$626,$D16,'Matriz Equipo'!$J$2:$J$626,"Casos del Excel (diseño + ejecución manual)")</f>
        <v/>
      </c>
      <c r="F16" s="10">
        <f>COUNTIFS('Matriz Equipo'!$D$2:$D$626,$D16,'Matriz Equipo'!$J$2:$J$626,"Cypress (Créditos, mocks)")</f>
        <v/>
      </c>
      <c r="G16" s="10">
        <f>COUNTIFS('Matriz Equipo'!$D$2:$D$626,$D16,'Matriz Equipo'!$J$2:$J$626,"Cypress (Usuarios y Retiro, Tomás)")</f>
        <v/>
      </c>
      <c r="H16" s="10">
        <f>COUNTIFS('Matriz Equipo'!$D$2:$D$626,$D16,'Matriz Equipo'!$J$2:$J$626,"Cypress + Gherkin (Bolsillos)")</f>
        <v/>
      </c>
      <c r="I16" s="10">
        <f>COUNTIFS('Matriz Equipo'!$D$2:$D$626,$D16,'Matriz Equipo'!$J$2:$J$626,"IA · Cypress Cloud + cy.prompt (Andrés)")</f>
        <v/>
      </c>
      <c r="J16" s="10">
        <f>COUNTIFS('Matriz Equipo'!$D$2:$D$626,$D16,'Matriz Equipo'!$J$2:$J$626,"IA · Keploy (Alejandro)")</f>
        <v/>
      </c>
      <c r="K16" s="10">
        <f>COUNTIFS('Matriz Equipo'!$D$2:$D$626,$D16,'Matriz Equipo'!$J$2:$J$626,"IA · Playwright MCP (Andrés)")</f>
        <v/>
      </c>
      <c r="L16" s="10">
        <f>COUNTIFS('Matriz Equipo'!$D$2:$D$626,$D16,'Matriz Equipo'!$J$2:$J$626,"IA · Playwright Test Agents (Alejandro)")</f>
        <v/>
      </c>
      <c r="M16" s="10">
        <f>COUNTIFS('Matriz Equipo'!$D$2:$D$626,$D16,'Matriz Equipo'!$J$2:$J$626,"IA · Postman + Newman (Alejandro)")</f>
        <v/>
      </c>
      <c r="N16" s="10">
        <f>COUNTIFS('Matriz Equipo'!$D$2:$D$626,$D16,'Matriz Equipo'!$J$2:$J$626,"IA · ReportPortal (Andrés)")</f>
        <v/>
      </c>
      <c r="O16" s="10">
        <f>COUNTIFS('Matriz Equipo'!$D$2:$D$626,$D16,'Matriz Equipo'!$J$2:$J$626,"Katalon Recorder")</f>
        <v/>
      </c>
      <c r="P16" s="10">
        <f>COUNTIFS('Matriz Equipo'!$D$2:$D$626,$D16,'Matriz Equipo'!$J$2:$J$626,"Serenity/JS Screenplay + Gherkin")</f>
        <v/>
      </c>
      <c r="Q16" s="10">
        <f>COUNTIFS('Matriz Equipo'!$D$2:$D$626,$D16,'Matriz Equipo'!$J$2:$J$626,"Stagehand (Gemini, Andrés)")</f>
        <v/>
      </c>
      <c r="R16" s="10">
        <f>COUNTIFS('Matriz Equipo'!$D$2:$D$626,$D16,'Matriz Equipo'!$J$2:$J$626,"Stagehand (Tomás)")</f>
        <v/>
      </c>
      <c r="S16" s="10">
        <f>COUNTIFS('Matriz Equipo'!$D$2:$D$626,$D16,'Matriz Equipo'!$J$2:$J$626,"Stagehand (google/gemini-3.5-flash)")</f>
        <v/>
      </c>
      <c r="T16" s="10">
        <f>COUNTIFS('Matriz Equipo'!$D$2:$D$626,$D16,'Matriz Equipo'!$J$2:$J$626,"Stagehand (google/gemini-3.5-flash-lite)")</f>
        <v/>
      </c>
      <c r="U16" s="10">
        <f>COUNTIFS('Matriz Equipo'!$D$2:$D$626,$D16,'Matriz Equipo'!$J$2:$J$626,"Vitest backend")</f>
        <v/>
      </c>
      <c r="V16" s="10">
        <f>COUNTIFS('Matriz Equipo'!$D$2:$D$626,$D16,'Matriz Equipo'!$J$2:$J$626,"Vitest frontend")</f>
        <v/>
      </c>
      <c r="W16" s="10">
        <f>COUNTIFS('Matriz Equipo'!$D$2:$D$626,$D16)</f>
        <v/>
      </c>
      <c r="X16" s="10">
        <f>COUNTIFS('Matriz Equipo'!$D$2:$D$626,$D16,'Matriz Equipo'!$N$2:$N$626,"Aprobado")</f>
        <v/>
      </c>
      <c r="Y16" s="10">
        <f>COUNTIFS('Matriz Equipo'!$D$2:$D$626,$D16,'Matriz Equipo'!$N$2:$N$626,"Aprobado (reportado)")</f>
        <v/>
      </c>
      <c r="Z16" s="10">
        <f>COUNTIFS('Matriz Equipo'!$D$2:$D$626,$D16,'Matriz Equipo'!$N$2:$N$626,"Fallido")</f>
        <v/>
      </c>
      <c r="AA16" s="10">
        <f>W16-X16-Y16-Z16</f>
        <v/>
      </c>
      <c r="AB16" s="11">
        <f>IF(W16=0,0,(X16+Y16)/W16)</f>
        <v/>
      </c>
    </row>
    <row r="17">
      <c r="A17" s="10" t="inlineStr">
        <is>
          <t>Stiven Alejandro Bustamante</t>
        </is>
      </c>
      <c r="B17" s="10" t="inlineStr">
        <is>
          <t>Bolsillos</t>
        </is>
      </c>
      <c r="C17" s="10" t="inlineStr">
        <is>
          <t>HU-26</t>
        </is>
      </c>
      <c r="D17" s="10" t="inlineStr">
        <is>
          <t>Transferir entre bolsillos</t>
        </is>
      </c>
      <c r="E17" s="10">
        <f>COUNTIFS('Matriz Equipo'!$D$2:$D$626,$D17,'Matriz Equipo'!$J$2:$J$626,"Casos del Excel (diseño + ejecución manual)")</f>
        <v/>
      </c>
      <c r="F17" s="10">
        <f>COUNTIFS('Matriz Equipo'!$D$2:$D$626,$D17,'Matriz Equipo'!$J$2:$J$626,"Cypress (Créditos, mocks)")</f>
        <v/>
      </c>
      <c r="G17" s="10">
        <f>COUNTIFS('Matriz Equipo'!$D$2:$D$626,$D17,'Matriz Equipo'!$J$2:$J$626,"Cypress (Usuarios y Retiro, Tomás)")</f>
        <v/>
      </c>
      <c r="H17" s="10">
        <f>COUNTIFS('Matriz Equipo'!$D$2:$D$626,$D17,'Matriz Equipo'!$J$2:$J$626,"Cypress + Gherkin (Bolsillos)")</f>
        <v/>
      </c>
      <c r="I17" s="10">
        <f>COUNTIFS('Matriz Equipo'!$D$2:$D$626,$D17,'Matriz Equipo'!$J$2:$J$626,"IA · Cypress Cloud + cy.prompt (Andrés)")</f>
        <v/>
      </c>
      <c r="J17" s="10">
        <f>COUNTIFS('Matriz Equipo'!$D$2:$D$626,$D17,'Matriz Equipo'!$J$2:$J$626,"IA · Keploy (Alejandro)")</f>
        <v/>
      </c>
      <c r="K17" s="10">
        <f>COUNTIFS('Matriz Equipo'!$D$2:$D$626,$D17,'Matriz Equipo'!$J$2:$J$626,"IA · Playwright MCP (Andrés)")</f>
        <v/>
      </c>
      <c r="L17" s="10">
        <f>COUNTIFS('Matriz Equipo'!$D$2:$D$626,$D17,'Matriz Equipo'!$J$2:$J$626,"IA · Playwright Test Agents (Alejandro)")</f>
        <v/>
      </c>
      <c r="M17" s="10">
        <f>COUNTIFS('Matriz Equipo'!$D$2:$D$626,$D17,'Matriz Equipo'!$J$2:$J$626,"IA · Postman + Newman (Alejandro)")</f>
        <v/>
      </c>
      <c r="N17" s="10">
        <f>COUNTIFS('Matriz Equipo'!$D$2:$D$626,$D17,'Matriz Equipo'!$J$2:$J$626,"IA · ReportPortal (Andrés)")</f>
        <v/>
      </c>
      <c r="O17" s="10">
        <f>COUNTIFS('Matriz Equipo'!$D$2:$D$626,$D17,'Matriz Equipo'!$J$2:$J$626,"Katalon Recorder")</f>
        <v/>
      </c>
      <c r="P17" s="10">
        <f>COUNTIFS('Matriz Equipo'!$D$2:$D$626,$D17,'Matriz Equipo'!$J$2:$J$626,"Serenity/JS Screenplay + Gherkin")</f>
        <v/>
      </c>
      <c r="Q17" s="10">
        <f>COUNTIFS('Matriz Equipo'!$D$2:$D$626,$D17,'Matriz Equipo'!$J$2:$J$626,"Stagehand (Gemini, Andrés)")</f>
        <v/>
      </c>
      <c r="R17" s="10">
        <f>COUNTIFS('Matriz Equipo'!$D$2:$D$626,$D17,'Matriz Equipo'!$J$2:$J$626,"Stagehand (Tomás)")</f>
        <v/>
      </c>
      <c r="S17" s="10">
        <f>COUNTIFS('Matriz Equipo'!$D$2:$D$626,$D17,'Matriz Equipo'!$J$2:$J$626,"Stagehand (google/gemini-3.5-flash)")</f>
        <v/>
      </c>
      <c r="T17" s="10">
        <f>COUNTIFS('Matriz Equipo'!$D$2:$D$626,$D17,'Matriz Equipo'!$J$2:$J$626,"Stagehand (google/gemini-3.5-flash-lite)")</f>
        <v/>
      </c>
      <c r="U17" s="10">
        <f>COUNTIFS('Matriz Equipo'!$D$2:$D$626,$D17,'Matriz Equipo'!$J$2:$J$626,"Vitest backend")</f>
        <v/>
      </c>
      <c r="V17" s="10">
        <f>COUNTIFS('Matriz Equipo'!$D$2:$D$626,$D17,'Matriz Equipo'!$J$2:$J$626,"Vitest frontend")</f>
        <v/>
      </c>
      <c r="W17" s="10">
        <f>COUNTIFS('Matriz Equipo'!$D$2:$D$626,$D17)</f>
        <v/>
      </c>
      <c r="X17" s="10">
        <f>COUNTIFS('Matriz Equipo'!$D$2:$D$626,$D17,'Matriz Equipo'!$N$2:$N$626,"Aprobado")</f>
        <v/>
      </c>
      <c r="Y17" s="10">
        <f>COUNTIFS('Matriz Equipo'!$D$2:$D$626,$D17,'Matriz Equipo'!$N$2:$N$626,"Aprobado (reportado)")</f>
        <v/>
      </c>
      <c r="Z17" s="10">
        <f>COUNTIFS('Matriz Equipo'!$D$2:$D$626,$D17,'Matriz Equipo'!$N$2:$N$626,"Fallido")</f>
        <v/>
      </c>
      <c r="AA17" s="10">
        <f>W17-X17-Y17-Z17</f>
        <v/>
      </c>
      <c r="AB17" s="11">
        <f>IF(W17=0,0,(X17+Y17)/W17)</f>
        <v/>
      </c>
    </row>
    <row r="18">
      <c r="A18" s="10" t="inlineStr">
        <is>
          <t>Stiven Alejandro Bustamante</t>
        </is>
      </c>
      <c r="B18" s="10" t="inlineStr">
        <is>
          <t>Cuentas</t>
        </is>
      </c>
      <c r="C18" s="10" t="inlineStr">
        <is>
          <t>EX-DEP</t>
        </is>
      </c>
      <c r="D18" s="10" t="inlineStr">
        <is>
          <t>Depositar dinero (funcionalidad extra)</t>
        </is>
      </c>
      <c r="E18" s="10">
        <f>COUNTIFS('Matriz Equipo'!$D$2:$D$626,$D18,'Matriz Equipo'!$J$2:$J$626,"Casos del Excel (diseño + ejecución manual)")</f>
        <v/>
      </c>
      <c r="F18" s="10">
        <f>COUNTIFS('Matriz Equipo'!$D$2:$D$626,$D18,'Matriz Equipo'!$J$2:$J$626,"Cypress (Créditos, mocks)")</f>
        <v/>
      </c>
      <c r="G18" s="10">
        <f>COUNTIFS('Matriz Equipo'!$D$2:$D$626,$D18,'Matriz Equipo'!$J$2:$J$626,"Cypress (Usuarios y Retiro, Tomás)")</f>
        <v/>
      </c>
      <c r="H18" s="10">
        <f>COUNTIFS('Matriz Equipo'!$D$2:$D$626,$D18,'Matriz Equipo'!$J$2:$J$626,"Cypress + Gherkin (Bolsillos)")</f>
        <v/>
      </c>
      <c r="I18" s="10">
        <f>COUNTIFS('Matriz Equipo'!$D$2:$D$626,$D18,'Matriz Equipo'!$J$2:$J$626,"IA · Cypress Cloud + cy.prompt (Andrés)")</f>
        <v/>
      </c>
      <c r="J18" s="10">
        <f>COUNTIFS('Matriz Equipo'!$D$2:$D$626,$D18,'Matriz Equipo'!$J$2:$J$626,"IA · Keploy (Alejandro)")</f>
        <v/>
      </c>
      <c r="K18" s="10">
        <f>COUNTIFS('Matriz Equipo'!$D$2:$D$626,$D18,'Matriz Equipo'!$J$2:$J$626,"IA · Playwright MCP (Andrés)")</f>
        <v/>
      </c>
      <c r="L18" s="10">
        <f>COUNTIFS('Matriz Equipo'!$D$2:$D$626,$D18,'Matriz Equipo'!$J$2:$J$626,"IA · Playwright Test Agents (Alejandro)")</f>
        <v/>
      </c>
      <c r="M18" s="10">
        <f>COUNTIFS('Matriz Equipo'!$D$2:$D$626,$D18,'Matriz Equipo'!$J$2:$J$626,"IA · Postman + Newman (Alejandro)")</f>
        <v/>
      </c>
      <c r="N18" s="10">
        <f>COUNTIFS('Matriz Equipo'!$D$2:$D$626,$D18,'Matriz Equipo'!$J$2:$J$626,"IA · ReportPortal (Andrés)")</f>
        <v/>
      </c>
      <c r="O18" s="10">
        <f>COUNTIFS('Matriz Equipo'!$D$2:$D$626,$D18,'Matriz Equipo'!$J$2:$J$626,"Katalon Recorder")</f>
        <v/>
      </c>
      <c r="P18" s="10">
        <f>COUNTIFS('Matriz Equipo'!$D$2:$D$626,$D18,'Matriz Equipo'!$J$2:$J$626,"Serenity/JS Screenplay + Gherkin")</f>
        <v/>
      </c>
      <c r="Q18" s="10">
        <f>COUNTIFS('Matriz Equipo'!$D$2:$D$626,$D18,'Matriz Equipo'!$J$2:$J$626,"Stagehand (Gemini, Andrés)")</f>
        <v/>
      </c>
      <c r="R18" s="10">
        <f>COUNTIFS('Matriz Equipo'!$D$2:$D$626,$D18,'Matriz Equipo'!$J$2:$J$626,"Stagehand (Tomás)")</f>
        <v/>
      </c>
      <c r="S18" s="10">
        <f>COUNTIFS('Matriz Equipo'!$D$2:$D$626,$D18,'Matriz Equipo'!$J$2:$J$626,"Stagehand (google/gemini-3.5-flash)")</f>
        <v/>
      </c>
      <c r="T18" s="10">
        <f>COUNTIFS('Matriz Equipo'!$D$2:$D$626,$D18,'Matriz Equipo'!$J$2:$J$626,"Stagehand (google/gemini-3.5-flash-lite)")</f>
        <v/>
      </c>
      <c r="U18" s="10">
        <f>COUNTIFS('Matriz Equipo'!$D$2:$D$626,$D18,'Matriz Equipo'!$J$2:$J$626,"Vitest backend")</f>
        <v/>
      </c>
      <c r="V18" s="10">
        <f>COUNTIFS('Matriz Equipo'!$D$2:$D$626,$D18,'Matriz Equipo'!$J$2:$J$626,"Vitest frontend")</f>
        <v/>
      </c>
      <c r="W18" s="10">
        <f>COUNTIFS('Matriz Equipo'!$D$2:$D$626,$D18)</f>
        <v/>
      </c>
      <c r="X18" s="10">
        <f>COUNTIFS('Matriz Equipo'!$D$2:$D$626,$D18,'Matriz Equipo'!$N$2:$N$626,"Aprobado")</f>
        <v/>
      </c>
      <c r="Y18" s="10">
        <f>COUNTIFS('Matriz Equipo'!$D$2:$D$626,$D18,'Matriz Equipo'!$N$2:$N$626,"Aprobado (reportado)")</f>
        <v/>
      </c>
      <c r="Z18" s="10">
        <f>COUNTIFS('Matriz Equipo'!$D$2:$D$626,$D18,'Matriz Equipo'!$N$2:$N$626,"Fallido")</f>
        <v/>
      </c>
      <c r="AA18" s="10">
        <f>W18-X18-Y18-Z18</f>
        <v/>
      </c>
      <c r="AB18" s="11">
        <f>IF(W18=0,0,(X18+Y18)/W18)</f>
        <v/>
      </c>
    </row>
    <row r="19">
      <c r="A19" s="10" t="inlineStr">
        <is>
          <t>Dubin Andres Soto</t>
        </is>
      </c>
      <c r="B19" s="10" t="inlineStr">
        <is>
          <t>Tarjetas</t>
        </is>
      </c>
      <c r="C19" s="10" t="inlineStr">
        <is>
          <t>TARJ</t>
        </is>
      </c>
      <c r="D19" s="10" t="inlineStr">
        <is>
          <t>Tarjetas virtuales</t>
        </is>
      </c>
      <c r="E19" s="10">
        <f>COUNTIFS('Matriz Equipo'!$D$2:$D$626,$D19,'Matriz Equipo'!$J$2:$J$626,"Casos del Excel (diseño + ejecución manual)")</f>
        <v/>
      </c>
      <c r="F19" s="10">
        <f>COUNTIFS('Matriz Equipo'!$D$2:$D$626,$D19,'Matriz Equipo'!$J$2:$J$626,"Cypress (Créditos, mocks)")</f>
        <v/>
      </c>
      <c r="G19" s="10">
        <f>COUNTIFS('Matriz Equipo'!$D$2:$D$626,$D19,'Matriz Equipo'!$J$2:$J$626,"Cypress (Usuarios y Retiro, Tomás)")</f>
        <v/>
      </c>
      <c r="H19" s="10">
        <f>COUNTIFS('Matriz Equipo'!$D$2:$D$626,$D19,'Matriz Equipo'!$J$2:$J$626,"Cypress + Gherkin (Bolsillos)")</f>
        <v/>
      </c>
      <c r="I19" s="10">
        <f>COUNTIFS('Matriz Equipo'!$D$2:$D$626,$D19,'Matriz Equipo'!$J$2:$J$626,"IA · Cypress Cloud + cy.prompt (Andrés)")</f>
        <v/>
      </c>
      <c r="J19" s="10">
        <f>COUNTIFS('Matriz Equipo'!$D$2:$D$626,$D19,'Matriz Equipo'!$J$2:$J$626,"IA · Keploy (Alejandro)")</f>
        <v/>
      </c>
      <c r="K19" s="10">
        <f>COUNTIFS('Matriz Equipo'!$D$2:$D$626,$D19,'Matriz Equipo'!$J$2:$J$626,"IA · Playwright MCP (Andrés)")</f>
        <v/>
      </c>
      <c r="L19" s="10">
        <f>COUNTIFS('Matriz Equipo'!$D$2:$D$626,$D19,'Matriz Equipo'!$J$2:$J$626,"IA · Playwright Test Agents (Alejandro)")</f>
        <v/>
      </c>
      <c r="M19" s="10">
        <f>COUNTIFS('Matriz Equipo'!$D$2:$D$626,$D19,'Matriz Equipo'!$J$2:$J$626,"IA · Postman + Newman (Alejandro)")</f>
        <v/>
      </c>
      <c r="N19" s="10">
        <f>COUNTIFS('Matriz Equipo'!$D$2:$D$626,$D19,'Matriz Equipo'!$J$2:$J$626,"IA · ReportPortal (Andrés)")</f>
        <v/>
      </c>
      <c r="O19" s="10">
        <f>COUNTIFS('Matriz Equipo'!$D$2:$D$626,$D19,'Matriz Equipo'!$J$2:$J$626,"Katalon Recorder")</f>
        <v/>
      </c>
      <c r="P19" s="10">
        <f>COUNTIFS('Matriz Equipo'!$D$2:$D$626,$D19,'Matriz Equipo'!$J$2:$J$626,"Serenity/JS Screenplay + Gherkin")</f>
        <v/>
      </c>
      <c r="Q19" s="10">
        <f>COUNTIFS('Matriz Equipo'!$D$2:$D$626,$D19,'Matriz Equipo'!$J$2:$J$626,"Stagehand (Gemini, Andrés)")</f>
        <v/>
      </c>
      <c r="R19" s="10">
        <f>COUNTIFS('Matriz Equipo'!$D$2:$D$626,$D19,'Matriz Equipo'!$J$2:$J$626,"Stagehand (Tomás)")</f>
        <v/>
      </c>
      <c r="S19" s="10">
        <f>COUNTIFS('Matriz Equipo'!$D$2:$D$626,$D19,'Matriz Equipo'!$J$2:$J$626,"Stagehand (google/gemini-3.5-flash)")</f>
        <v/>
      </c>
      <c r="T19" s="10">
        <f>COUNTIFS('Matriz Equipo'!$D$2:$D$626,$D19,'Matriz Equipo'!$J$2:$J$626,"Stagehand (google/gemini-3.5-flash-lite)")</f>
        <v/>
      </c>
      <c r="U19" s="10">
        <f>COUNTIFS('Matriz Equipo'!$D$2:$D$626,$D19,'Matriz Equipo'!$J$2:$J$626,"Vitest backend")</f>
        <v/>
      </c>
      <c r="V19" s="10">
        <f>COUNTIFS('Matriz Equipo'!$D$2:$D$626,$D19,'Matriz Equipo'!$J$2:$J$626,"Vitest frontend")</f>
        <v/>
      </c>
      <c r="W19" s="10">
        <f>COUNTIFS('Matriz Equipo'!$D$2:$D$626,$D19)</f>
        <v/>
      </c>
      <c r="X19" s="10">
        <f>COUNTIFS('Matriz Equipo'!$D$2:$D$626,$D19,'Matriz Equipo'!$N$2:$N$626,"Aprobado")</f>
        <v/>
      </c>
      <c r="Y19" s="10">
        <f>COUNTIFS('Matriz Equipo'!$D$2:$D$626,$D19,'Matriz Equipo'!$N$2:$N$626,"Aprobado (reportado)")</f>
        <v/>
      </c>
      <c r="Z19" s="10">
        <f>COUNTIFS('Matriz Equipo'!$D$2:$D$626,$D19,'Matriz Equipo'!$N$2:$N$626,"Fallido")</f>
        <v/>
      </c>
      <c r="AA19" s="10">
        <f>W19-X19-Y19-Z19</f>
        <v/>
      </c>
      <c r="AB19" s="11">
        <f>IF(W19=0,0,(X19+Y19)/W19)</f>
        <v/>
      </c>
    </row>
    <row r="20">
      <c r="A20" s="10" t="inlineStr">
        <is>
          <t>Equipo</t>
        </is>
      </c>
      <c r="B20" s="10" t="inlineStr">
        <is>
          <t>Otros</t>
        </is>
      </c>
      <c r="C20" s="10" t="inlineStr">
        <is>
          <t>OTROS</t>
        </is>
      </c>
      <c r="D20" s="10" t="inlineStr">
        <is>
          <t>Otros módulos (transferencias, solicitudes, notificaciones, pagos, cuentas, UX)</t>
        </is>
      </c>
      <c r="E20" s="10">
        <f>COUNTIFS('Matriz Equipo'!$D$2:$D$626,$D20,'Matriz Equipo'!$J$2:$J$626,"Casos del Excel (diseño + ejecución manual)")</f>
        <v/>
      </c>
      <c r="F20" s="10">
        <f>COUNTIFS('Matriz Equipo'!$D$2:$D$626,$D20,'Matriz Equipo'!$J$2:$J$626,"Cypress (Créditos, mocks)")</f>
        <v/>
      </c>
      <c r="G20" s="10">
        <f>COUNTIFS('Matriz Equipo'!$D$2:$D$626,$D20,'Matriz Equipo'!$J$2:$J$626,"Cypress (Usuarios y Retiro, Tomás)")</f>
        <v/>
      </c>
      <c r="H20" s="10">
        <f>COUNTIFS('Matriz Equipo'!$D$2:$D$626,$D20,'Matriz Equipo'!$J$2:$J$626,"Cypress + Gherkin (Bolsillos)")</f>
        <v/>
      </c>
      <c r="I20" s="10">
        <f>COUNTIFS('Matriz Equipo'!$D$2:$D$626,$D20,'Matriz Equipo'!$J$2:$J$626,"IA · Cypress Cloud + cy.prompt (Andrés)")</f>
        <v/>
      </c>
      <c r="J20" s="10">
        <f>COUNTIFS('Matriz Equipo'!$D$2:$D$626,$D20,'Matriz Equipo'!$J$2:$J$626,"IA · Keploy (Alejandro)")</f>
        <v/>
      </c>
      <c r="K20" s="10">
        <f>COUNTIFS('Matriz Equipo'!$D$2:$D$626,$D20,'Matriz Equipo'!$J$2:$J$626,"IA · Playwright MCP (Andrés)")</f>
        <v/>
      </c>
      <c r="L20" s="10">
        <f>COUNTIFS('Matriz Equipo'!$D$2:$D$626,$D20,'Matriz Equipo'!$J$2:$J$626,"IA · Playwright Test Agents (Alejandro)")</f>
        <v/>
      </c>
      <c r="M20" s="10">
        <f>COUNTIFS('Matriz Equipo'!$D$2:$D$626,$D20,'Matriz Equipo'!$J$2:$J$626,"IA · Postman + Newman (Alejandro)")</f>
        <v/>
      </c>
      <c r="N20" s="10">
        <f>COUNTIFS('Matriz Equipo'!$D$2:$D$626,$D20,'Matriz Equipo'!$J$2:$J$626,"IA · ReportPortal (Andrés)")</f>
        <v/>
      </c>
      <c r="O20" s="10">
        <f>COUNTIFS('Matriz Equipo'!$D$2:$D$626,$D20,'Matriz Equipo'!$J$2:$J$626,"Katalon Recorder")</f>
        <v/>
      </c>
      <c r="P20" s="10">
        <f>COUNTIFS('Matriz Equipo'!$D$2:$D$626,$D20,'Matriz Equipo'!$J$2:$J$626,"Serenity/JS Screenplay + Gherkin")</f>
        <v/>
      </c>
      <c r="Q20" s="10">
        <f>COUNTIFS('Matriz Equipo'!$D$2:$D$626,$D20,'Matriz Equipo'!$J$2:$J$626,"Stagehand (Gemini, Andrés)")</f>
        <v/>
      </c>
      <c r="R20" s="10">
        <f>COUNTIFS('Matriz Equipo'!$D$2:$D$626,$D20,'Matriz Equipo'!$J$2:$J$626,"Stagehand (Tomás)")</f>
        <v/>
      </c>
      <c r="S20" s="10">
        <f>COUNTIFS('Matriz Equipo'!$D$2:$D$626,$D20,'Matriz Equipo'!$J$2:$J$626,"Stagehand (google/gemini-3.5-flash)")</f>
        <v/>
      </c>
      <c r="T20" s="10">
        <f>COUNTIFS('Matriz Equipo'!$D$2:$D$626,$D20,'Matriz Equipo'!$J$2:$J$626,"Stagehand (google/gemini-3.5-flash-lite)")</f>
        <v/>
      </c>
      <c r="U20" s="10">
        <f>COUNTIFS('Matriz Equipo'!$D$2:$D$626,$D20,'Matriz Equipo'!$J$2:$J$626,"Vitest backend")</f>
        <v/>
      </c>
      <c r="V20" s="10">
        <f>COUNTIFS('Matriz Equipo'!$D$2:$D$626,$D20,'Matriz Equipo'!$J$2:$J$626,"Vitest frontend")</f>
        <v/>
      </c>
      <c r="W20" s="10">
        <f>COUNTIFS('Matriz Equipo'!$D$2:$D$626,$D20)</f>
        <v/>
      </c>
      <c r="X20" s="10">
        <f>COUNTIFS('Matriz Equipo'!$D$2:$D$626,$D20,'Matriz Equipo'!$N$2:$N$626,"Aprobado")</f>
        <v/>
      </c>
      <c r="Y20" s="10">
        <f>COUNTIFS('Matriz Equipo'!$D$2:$D$626,$D20,'Matriz Equipo'!$N$2:$N$626,"Aprobado (reportado)")</f>
        <v/>
      </c>
      <c r="Z20" s="10">
        <f>COUNTIFS('Matriz Equipo'!$D$2:$D$626,$D20,'Matriz Equipo'!$N$2:$N$626,"Fallido")</f>
        <v/>
      </c>
      <c r="AA20" s="10">
        <f>W20-X20-Y20-Z20</f>
        <v/>
      </c>
      <c r="AB20" s="11">
        <f>IF(W20=0,0,(X20+Y20)/W20)</f>
        <v/>
      </c>
    </row>
    <row r="21">
      <c r="A21" s="12" t="n"/>
      <c r="B21" s="12" t="n"/>
      <c r="C21" s="12" t="n"/>
      <c r="D21" s="12" t="inlineStr">
        <is>
          <t>TOTAL</t>
        </is>
      </c>
      <c r="E21" s="12">
        <f>SUM(E2:E20)</f>
        <v/>
      </c>
      <c r="F21" s="12">
        <f>SUM(F2:F20)</f>
        <v/>
      </c>
      <c r="G21" s="12">
        <f>SUM(G2:G20)</f>
        <v/>
      </c>
      <c r="H21" s="12">
        <f>SUM(H2:H20)</f>
        <v/>
      </c>
      <c r="I21" s="12">
        <f>SUM(I2:I20)</f>
        <v/>
      </c>
      <c r="J21" s="12">
        <f>SUM(J2:J20)</f>
        <v/>
      </c>
      <c r="K21" s="12">
        <f>SUM(K2:K20)</f>
        <v/>
      </c>
      <c r="L21" s="12">
        <f>SUM(L2:L20)</f>
        <v/>
      </c>
      <c r="M21" s="12">
        <f>SUM(M2:M20)</f>
        <v/>
      </c>
      <c r="N21" s="12">
        <f>SUM(N2:N20)</f>
        <v/>
      </c>
      <c r="O21" s="12">
        <f>SUM(O2:O20)</f>
        <v/>
      </c>
      <c r="P21" s="12">
        <f>SUM(P2:P20)</f>
        <v/>
      </c>
      <c r="Q21" s="12">
        <f>SUM(Q2:Q20)</f>
        <v/>
      </c>
      <c r="R21" s="12">
        <f>SUM(R2:R20)</f>
        <v/>
      </c>
      <c r="S21" s="12">
        <f>SUM(S2:S20)</f>
        <v/>
      </c>
      <c r="T21" s="12">
        <f>SUM(T2:T20)</f>
        <v/>
      </c>
      <c r="U21" s="12">
        <f>SUM(U2:U20)</f>
        <v/>
      </c>
      <c r="V21" s="12">
        <f>SUM(V2:V20)</f>
        <v/>
      </c>
      <c r="W21" s="12">
        <f>SUM(W2:W20)</f>
        <v/>
      </c>
      <c r="X21" s="12">
        <f>SUM(X2:X20)</f>
        <v/>
      </c>
      <c r="Y21" s="12">
        <f>SUM(Y2:Y20)</f>
        <v/>
      </c>
      <c r="Z21" s="12">
        <f>SUM(Z2:Z20)</f>
        <v/>
      </c>
      <c r="AA21" s="12">
        <f>SUM(AA2:AA20)</f>
        <v/>
      </c>
      <c r="AB21" s="13">
        <f>IF(W21=0,0,(X21+Y21)/W21)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3"/>
    <col width="11" customWidth="1" min="4" max="4"/>
    <col width="14" customWidth="1" min="5" max="5"/>
    <col width="10" customWidth="1" min="6" max="6"/>
    <col width="16" customWidth="1" min="7" max="7"/>
    <col width="11" customWidth="1" min="8" max="8"/>
  </cols>
  <sheetData>
    <row r="1">
      <c r="A1" s="14" t="inlineStr">
        <is>
          <t>Integrante</t>
        </is>
      </c>
      <c r="B1" s="14" t="inlineStr">
        <is>
          <t>Requisitos</t>
        </is>
      </c>
      <c r="C1" s="14" t="inlineStr">
        <is>
          <t>Casos / filas</t>
        </is>
      </c>
      <c r="D1" s="14" t="inlineStr">
        <is>
          <t>Aprobados</t>
        </is>
      </c>
      <c r="E1" s="14" t="inlineStr">
        <is>
          <t>Aprobados (reportados)</t>
        </is>
      </c>
      <c r="F1" s="14" t="inlineStr">
        <is>
          <t>Fallidos</t>
        </is>
      </c>
      <c r="G1" s="14" t="inlineStr">
        <is>
          <t>Pendientes / sin resultado</t>
        </is>
      </c>
      <c r="H1" s="14" t="inlineStr">
        <is>
          <t>% Aprobado</t>
        </is>
      </c>
    </row>
    <row r="2">
      <c r="A2" s="15" t="inlineStr">
        <is>
          <t>Tomás Henao</t>
        </is>
      </c>
      <c r="B2" s="15">
        <f>COUNTIF(Cobertura!$A$2:$A$20,A2)</f>
        <v/>
      </c>
      <c r="C2" s="15">
        <f>COUNTIFS('Matriz Equipo'!$A$2:$A$626,A2)</f>
        <v/>
      </c>
      <c r="D2" s="15">
        <f>COUNTIFS('Matriz Equipo'!$A$2:$A$626,A2,'Matriz Equipo'!$N$2:$N$626,"Aprobado")</f>
        <v/>
      </c>
      <c r="E2" s="15">
        <f>COUNTIFS('Matriz Equipo'!$A$2:$A$626,A2,'Matriz Equipo'!$N$2:$N$626,"Aprobado (reportado)")</f>
        <v/>
      </c>
      <c r="F2" s="15">
        <f>COUNTIFS('Matriz Equipo'!$A$2:$A$626,A2,'Matriz Equipo'!$N$2:$N$626,"Fallido")</f>
        <v/>
      </c>
      <c r="G2" s="15">
        <f>C2-D2-E2-F2</f>
        <v/>
      </c>
      <c r="H2" s="16">
        <f>IF(C2=0,0,(D2+E2)/C2)</f>
        <v/>
      </c>
    </row>
    <row r="3">
      <c r="A3" s="15" t="inlineStr">
        <is>
          <t>Andrés Bedoya</t>
        </is>
      </c>
      <c r="B3" s="15">
        <f>COUNTIF(Cobertura!$A$2:$A$20,A3)</f>
        <v/>
      </c>
      <c r="C3" s="15">
        <f>COUNTIFS('Matriz Equipo'!$A$2:$A$626,A3)</f>
        <v/>
      </c>
      <c r="D3" s="15">
        <f>COUNTIFS('Matriz Equipo'!$A$2:$A$626,A3,'Matriz Equipo'!$N$2:$N$626,"Aprobado")</f>
        <v/>
      </c>
      <c r="E3" s="15">
        <f>COUNTIFS('Matriz Equipo'!$A$2:$A$626,A3,'Matriz Equipo'!$N$2:$N$626,"Aprobado (reportado)")</f>
        <v/>
      </c>
      <c r="F3" s="15">
        <f>COUNTIFS('Matriz Equipo'!$A$2:$A$626,A3,'Matriz Equipo'!$N$2:$N$626,"Fallido")</f>
        <v/>
      </c>
      <c r="G3" s="15">
        <f>C3-D3-E3-F3</f>
        <v/>
      </c>
      <c r="H3" s="16">
        <f>IF(C3=0,0,(D3+E3)/C3)</f>
        <v/>
      </c>
    </row>
    <row r="4">
      <c r="A4" s="15" t="inlineStr">
        <is>
          <t>Stiven Alejandro Bustamante</t>
        </is>
      </c>
      <c r="B4" s="15">
        <f>COUNTIF(Cobertura!$A$2:$A$20,A4)</f>
        <v/>
      </c>
      <c r="C4" s="15">
        <f>COUNTIFS('Matriz Equipo'!$A$2:$A$626,A4)</f>
        <v/>
      </c>
      <c r="D4" s="15">
        <f>COUNTIFS('Matriz Equipo'!$A$2:$A$626,A4,'Matriz Equipo'!$N$2:$N$626,"Aprobado")</f>
        <v/>
      </c>
      <c r="E4" s="15">
        <f>COUNTIFS('Matriz Equipo'!$A$2:$A$626,A4,'Matriz Equipo'!$N$2:$N$626,"Aprobado (reportado)")</f>
        <v/>
      </c>
      <c r="F4" s="15">
        <f>COUNTIFS('Matriz Equipo'!$A$2:$A$626,A4,'Matriz Equipo'!$N$2:$N$626,"Fallido")</f>
        <v/>
      </c>
      <c r="G4" s="15">
        <f>C4-D4-E4-F4</f>
        <v/>
      </c>
      <c r="H4" s="16">
        <f>IF(C4=0,0,(D4+E4)/C4)</f>
        <v/>
      </c>
    </row>
    <row r="5">
      <c r="A5" s="15" t="inlineStr">
        <is>
          <t>Dubin Andres Soto</t>
        </is>
      </c>
      <c r="B5" s="15">
        <f>COUNTIF(Cobertura!$A$2:$A$20,A5)</f>
        <v/>
      </c>
      <c r="C5" s="15">
        <f>COUNTIFS('Matriz Equipo'!$A$2:$A$626,A5)</f>
        <v/>
      </c>
      <c r="D5" s="15">
        <f>COUNTIFS('Matriz Equipo'!$A$2:$A$626,A5,'Matriz Equipo'!$N$2:$N$626,"Aprobado")</f>
        <v/>
      </c>
      <c r="E5" s="15">
        <f>COUNTIFS('Matriz Equipo'!$A$2:$A$626,A5,'Matriz Equipo'!$N$2:$N$626,"Aprobado (reportado)")</f>
        <v/>
      </c>
      <c r="F5" s="15">
        <f>COUNTIFS('Matriz Equipo'!$A$2:$A$626,A5,'Matriz Equipo'!$N$2:$N$626,"Fallido")</f>
        <v/>
      </c>
      <c r="G5" s="15">
        <f>C5-D5-E5-F5</f>
        <v/>
      </c>
      <c r="H5" s="16">
        <f>IF(C5=0,0,(D5+E5)/C5)</f>
        <v/>
      </c>
    </row>
    <row r="6">
      <c r="A6" s="15" t="inlineStr">
        <is>
          <t>Equipo</t>
        </is>
      </c>
      <c r="B6" s="15">
        <f>COUNTIF(Cobertura!$A$2:$A$20,A6)</f>
        <v/>
      </c>
      <c r="C6" s="15">
        <f>COUNTIFS('Matriz Equipo'!$A$2:$A$626,A6)</f>
        <v/>
      </c>
      <c r="D6" s="15">
        <f>COUNTIFS('Matriz Equipo'!$A$2:$A$626,A6,'Matriz Equipo'!$N$2:$N$626,"Aprobado")</f>
        <v/>
      </c>
      <c r="E6" s="15">
        <f>COUNTIFS('Matriz Equipo'!$A$2:$A$626,A6,'Matriz Equipo'!$N$2:$N$626,"Aprobado (reportado)")</f>
        <v/>
      </c>
      <c r="F6" s="15">
        <f>COUNTIFS('Matriz Equipo'!$A$2:$A$626,A6,'Matriz Equipo'!$N$2:$N$626,"Fallido")</f>
        <v/>
      </c>
      <c r="G6" s="15">
        <f>C6-D6-E6-F6</f>
        <v/>
      </c>
      <c r="H6" s="16">
        <f>IF(C6=0,0,(D6+E6)/C6)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22" customWidth="1" min="3" max="3"/>
    <col width="10" customWidth="1" min="4" max="4"/>
    <col width="34" customWidth="1" min="5" max="5"/>
    <col width="16" customWidth="1" min="6" max="6"/>
    <col width="44" customWidth="1" min="7" max="7"/>
  </cols>
  <sheetData>
    <row r="1">
      <c r="A1" s="17" t="inlineStr">
        <is>
          <t>ID</t>
        </is>
      </c>
      <c r="B1" s="17" t="inlineStr">
        <is>
          <t>Descripción</t>
        </is>
      </c>
      <c r="C1" s="17" t="inlineStr">
        <is>
          <t>Integrante / módulo</t>
        </is>
      </c>
      <c r="D1" s="17" t="inlineStr">
        <is>
          <t>Severidad</t>
        </is>
      </c>
      <c r="E1" s="17" t="inlineStr">
        <is>
          <t>Detectado por</t>
        </is>
      </c>
      <c r="F1" s="17" t="inlineStr">
        <is>
          <t>Estado</t>
        </is>
      </c>
      <c r="G1" s="17" t="inlineStr">
        <is>
          <t>Corrección / referencia</t>
        </is>
      </c>
    </row>
    <row r="2">
      <c r="A2" s="5" t="inlineStr">
        <is>
          <t>REG-01</t>
        </is>
      </c>
      <c r="B2" s="5" t="inlineStr">
        <is>
          <t>upstream/dev (c9ce5f4): SupabaseAccountRepository cachea cuentas en memoria, agrega cuentas falsas (10M) y timeout de 1,2 s; tsc no compila</t>
        </is>
      </c>
      <c r="C2" s="5" t="inlineStr">
        <is>
          <t>Tomás · Cuentas</t>
        </is>
      </c>
      <c r="D2" s="5" t="inlineStr">
        <is>
          <t>Crítica</t>
        </is>
      </c>
      <c r="E2" s="5" t="inlineStr">
        <is>
          <t>Newman de Bolsillos al integrar dev (136 → 99/134) y tsc</t>
        </is>
      </c>
      <c r="F2" s="5" t="inlineStr">
        <is>
          <t>Abierto</t>
        </is>
      </c>
      <c r="G2" s="5" t="inlineStr">
        <is>
          <t>docs/evidencia-final-bolsillos/regresion-upstream-c9ce5f4.txt</t>
        </is>
      </c>
    </row>
    <row r="3">
      <c r="A3" s="5" t="inlineStr">
        <is>
          <t>SEC-TH</t>
        </is>
      </c>
      <c r="B3" s="5" t="inlineStr">
        <is>
          <t>Endpoints /auth/test-helper/* exponen códigos 2FA y enlaces de reset (usados por Cypress de Tomás)</t>
        </is>
      </c>
      <c r="C3" s="5" t="inlineStr">
        <is>
          <t>Tomás · Usuarios</t>
        </is>
      </c>
      <c r="D3" s="5" t="inlineStr">
        <is>
          <t>Alta</t>
        </is>
      </c>
      <c r="E3" s="5" t="inlineStr">
        <is>
          <t>Revisión de upstream/dev</t>
        </is>
      </c>
      <c r="F3" s="5" t="inlineStr">
        <is>
          <t>Abierto (revisar)</t>
        </is>
      </c>
      <c r="G3" s="5" t="inlineStr">
        <is>
          <t>Limitar a NODE_ENV=test</t>
        </is>
      </c>
    </row>
    <row r="4">
      <c r="A4" s="5" t="inlineStr">
        <is>
          <t>BUILD-01</t>
        </is>
      </c>
      <c r="B4" s="5" t="inlineStr">
        <is>
          <t>ws sin @types/ws: tsc/Docker/Jenkins fallaban</t>
        </is>
      </c>
      <c r="C4" s="5" t="inlineStr">
        <is>
          <t>Equipo · Backend</t>
        </is>
      </c>
      <c r="D4" s="5" t="inlineStr">
        <is>
          <t>Alta</t>
        </is>
      </c>
      <c r="E4" s="5" t="inlineStr">
        <is>
          <t>Build de imagen</t>
        </is>
      </c>
      <c r="F4" s="5" t="inlineStr">
        <is>
          <t>Corregido</t>
        </is>
      </c>
      <c r="G4" s="5" t="inlineStr">
        <is>
          <t>PR de Alejandro (@types/ws)</t>
        </is>
      </c>
    </row>
    <row r="5">
      <c r="A5" s="5" t="inlineStr">
        <is>
          <t>A11Y-01…06</t>
        </is>
      </c>
      <c r="B5" s="5" t="inlineStr">
        <is>
          <t>Contraste, botones sin nombre, /accounts invisible en tema claro</t>
        </is>
      </c>
      <c r="C5" s="5" t="inlineStr">
        <is>
          <t>Alejandro · Bolsillos/Cuentas</t>
        </is>
      </c>
      <c r="D5" s="5" t="inlineStr">
        <is>
          <t>Alta</t>
        </is>
      </c>
      <c r="E5" s="5" t="inlineStr">
        <is>
          <t>Cypress + axe</t>
        </is>
      </c>
      <c r="F5" s="5" t="inlineStr">
        <is>
          <t>Corregido</t>
        </is>
      </c>
      <c r="G5" s="5" t="inlineStr">
        <is>
          <t>docs/refactorizacion-bolsillos-antes-despues.md (R-10)</t>
        </is>
      </c>
    </row>
    <row r="6">
      <c r="A6" s="5" t="inlineStr">
        <is>
          <t>DEF-001</t>
        </is>
      </c>
      <c r="B6" s="5" t="inlineStr">
        <is>
          <t>Bolsillo con nombre de solo espacios</t>
        </is>
      </c>
      <c r="C6" s="5" t="inlineStr">
        <is>
          <t>Alejandro · Bolsillos</t>
        </is>
      </c>
      <c r="D6" s="5" t="inlineStr">
        <is>
          <t>Media</t>
        </is>
      </c>
      <c r="E6" s="5" t="inlineStr">
        <is>
          <t>Katalon TC-110</t>
        </is>
      </c>
      <c r="F6" s="5" t="inlineStr">
        <is>
          <t>Corregido</t>
        </is>
      </c>
      <c r="G6" s="5" t="inlineStr">
        <is>
          <t>R-07 · b366dbf</t>
        </is>
      </c>
    </row>
    <row r="7">
      <c r="A7" s="5" t="inlineStr">
        <is>
          <t>SEC-01/02</t>
        </is>
      </c>
      <c r="B7" s="5" t="inlineStr">
        <is>
          <t>Tokens de 2FA y de reset aceptados como acceso</t>
        </is>
      </c>
      <c r="C7" s="5" t="inlineStr">
        <is>
          <t>Equipo · Autenticación</t>
        </is>
      </c>
      <c r="D7" s="5" t="inlineStr">
        <is>
          <t>Crítica</t>
        </is>
      </c>
      <c r="E7" s="5" t="inlineStr">
        <is>
          <t>Seguridad de Bolsillos</t>
        </is>
      </c>
      <c r="F7" s="5" t="inlineStr">
        <is>
          <t>Corregido</t>
        </is>
      </c>
      <c r="G7" s="5" t="inlineStr">
        <is>
          <t>R-05 · cabb874</t>
        </is>
      </c>
    </row>
    <row r="8">
      <c r="A8" s="5" t="inlineStr">
        <is>
          <t>E2E-01</t>
        </is>
      </c>
      <c r="B8" s="5" t="inlineStr">
        <is>
          <t>Sin "Recordarme" la API no enviaba el token</t>
        </is>
      </c>
      <c r="C8" s="5" t="inlineStr">
        <is>
          <t>Equipo · Frontend</t>
        </is>
      </c>
      <c r="D8" s="5" t="inlineStr">
        <is>
          <t>Alta</t>
        </is>
      </c>
      <c r="E8" s="5" t="inlineStr">
        <is>
          <t>Serenity</t>
        </is>
      </c>
      <c r="F8" s="5" t="inlineStr">
        <is>
          <t>Corregido</t>
        </is>
      </c>
      <c r="G8" s="5" t="inlineStr">
        <is>
          <t>R-09 · 365171d</t>
        </is>
      </c>
    </row>
    <row r="9">
      <c r="A9" s="5" t="inlineStr">
        <is>
          <t>D-04 / D-05 / D-07 / SEC-05…08</t>
        </is>
      </c>
      <c r="B9" s="5" t="inlineStr">
        <is>
          <t>Defectos abiertos de Bolsillos (contrato de monto, doble conteo, tabla pockets, endurecimiento)</t>
        </is>
      </c>
      <c r="C9" s="5" t="inlineStr">
        <is>
          <t>Alejandro · Bolsillos</t>
        </is>
      </c>
      <c r="D9" s="5" t="inlineStr">
        <is>
          <t>Media/Alta</t>
        </is>
      </c>
      <c r="E9" s="5" t="inlineStr">
        <is>
          <t>Regresión y seguridad</t>
        </is>
      </c>
      <c r="F9" s="5" t="inlineStr">
        <is>
          <t>Abierto</t>
        </is>
      </c>
      <c r="G9" s="5" t="inlineStr">
        <is>
          <t>it.fails documentados</t>
        </is>
      </c>
    </row>
    <row r="10">
      <c r="A10" s="5" t="inlineStr">
        <is>
          <t>PERF-02</t>
        </is>
      </c>
      <c r="B10" s="5" t="inlineStr">
        <is>
          <t>loan.performance.test.ts: el título dice "p95 &lt; 500ms" pero la aserción exige &lt; 200 ms</t>
        </is>
      </c>
      <c r="C10" s="5" t="inlineStr">
        <is>
          <t>Andrés · Créditos</t>
        </is>
      </c>
      <c r="D10" s="5" t="inlineStr">
        <is>
          <t>Baja</t>
        </is>
      </c>
      <c r="E10" s="5" t="inlineStr">
        <is>
          <t>Revisión de la prueba al fallar bajo carga</t>
        </is>
      </c>
      <c r="F10" s="5" t="inlineStr">
        <is>
          <t>Observación</t>
        </is>
      </c>
      <c r="G10" s="5" t="inlineStr">
        <is>
          <t>Alinear título y umbral</t>
        </is>
      </c>
    </row>
    <row r="11">
      <c r="A11" s="5" t="inlineStr">
        <is>
          <t>PERF-01</t>
        </is>
      </c>
      <c r="B11" s="5" t="inlineStr">
        <is>
          <t>Las pruebas de rendimiento de auth (150 ms) fallan al correr en paralelo con la suite completa; aisladas pasan 15/15</t>
        </is>
      </c>
      <c r="C11" s="5" t="inlineStr">
        <is>
          <t>Equipo · Auth/Tarjetas/Créditos</t>
        </is>
      </c>
      <c r="D11" s="5" t="inlineStr">
        <is>
          <t>Baja</t>
        </is>
      </c>
      <c r="E11" s="5" t="inlineStr">
        <is>
          <t>Vitest backend completo vs. aislado</t>
        </is>
      </c>
      <c r="F11" s="5" t="inlineStr">
        <is>
          <t>Observación</t>
        </is>
      </c>
      <c r="G11" s="5" t="inlineStr">
        <is>
          <t>Correr performance en un job aparte (como test:performance) o con --no-file-parallelism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2026-10-27T06:31:29Z</dcterms:created>
  <dcterms:modified xmlns:dcterms="http://purl.org/dc/terms/" xmlns:xsi="http://www.w3.org/2001/XMLSchema-instance" xsi:type="dcterms:W3CDTF">2026-10-27T06:31:29Z</dcterms:modified>
</cp:coreProperties>
</file>