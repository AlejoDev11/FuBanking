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étricas de Pruebas" sheetId="2" state="visible" r:id="rId2"/>
    <sheet name="Métricas Estructurales" sheetId="3" state="visible" r:id="rId3"/>
    <sheet name="ISO 25010" sheetId="4" state="visible" r:id="rId4"/>
    <sheet name="Trazabilidad" sheetId="5" state="visible" r:id="rId5"/>
    <sheet name="Fórmulas y Fu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E0A99"/>
      <sz val="10"/>
    </font>
    <font>
      <name val="Calibri"/>
      <b val="1"/>
      <color rgb="001A1420"/>
      <sz val="11"/>
    </font>
    <font>
      <name val="Calibri"/>
      <color rgb="001A1420"/>
      <sz val="11"/>
    </font>
    <font>
      <name val="Calibri"/>
      <b val="1"/>
      <color rgb="005E0A99"/>
      <sz val="12"/>
    </font>
    <font>
      <name val="Calibri"/>
      <b val="1"/>
      <color rgb="00FFFFFF"/>
      <sz val="11"/>
    </font>
    <font>
      <name val="Calibri"/>
      <i val="1"/>
      <color rgb="005C5566"/>
      <sz val="9"/>
    </font>
    <font>
      <name val="Consolas"/>
      <color rgb="001A1420"/>
      <sz val="10"/>
    </font>
  </fonts>
  <fills count="12">
    <fill>
      <patternFill/>
    </fill>
    <fill>
      <patternFill patternType="gray125"/>
    </fill>
    <fill>
      <patternFill patternType="solid">
        <fgColor rgb="00820AD1"/>
      </patternFill>
    </fill>
    <fill>
      <patternFill patternType="solid">
        <fgColor rgb="00EDE3F7"/>
      </patternFill>
    </fill>
    <fill>
      <patternFill patternType="solid">
        <fgColor rgb="00EAF3EE"/>
      </patternFill>
    </fill>
    <fill>
      <patternFill patternType="solid">
        <fgColor rgb="00FBE0E6"/>
      </patternFill>
    </fill>
    <fill>
      <patternFill patternType="solid">
        <fgColor rgb="00E3F3EC"/>
      </patternFill>
    </fill>
    <fill>
      <patternFill patternType="solid">
        <fgColor rgb="00F4F0FA"/>
      </patternFill>
    </fill>
    <fill>
      <patternFill patternType="solid">
        <fgColor rgb="00FBF0DC"/>
      </patternFill>
    </fill>
    <fill>
      <patternFill patternType="solid">
        <fgColor rgb="00EAF4FB"/>
      </patternFill>
    </fill>
    <fill>
      <patternFill patternType="solid">
        <fgColor rgb="00E6E1EC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D2C9DC"/>
      </left>
      <right style="thin">
        <color rgb="00D2C9DC"/>
      </right>
      <top style="thin">
        <color rgb="00D2C9DC"/>
      </top>
      <bottom style="thin">
        <color rgb="00D2C9DC"/>
      </bottom>
    </border>
    <border>
      <left/>
      <right/>
      <top style="thin">
        <color rgb="00D2C9DC"/>
      </top>
      <bottom/>
      <diagonal/>
    </border>
    <border>
      <left/>
      <right style="thin">
        <color rgb="00D2C9DC"/>
      </right>
      <top style="thin">
        <color rgb="00D2C9DC"/>
      </top>
      <bottom/>
      <diagonal/>
    </border>
    <border>
      <left/>
      <right/>
      <top style="thin">
        <color rgb="00D2C9DC"/>
      </top>
      <bottom style="thin">
        <color rgb="00D2C9DC"/>
      </bottom>
      <diagonal/>
    </border>
    <border>
      <left/>
      <right style="thin">
        <color rgb="00D2C9DC"/>
      </right>
      <top style="thin">
        <color rgb="00D2C9DC"/>
      </top>
      <bottom style="thin">
        <color rgb="00D2C9DC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9" fontId="3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3" fillId="7" borderId="1" pivotButton="0" quotePrefix="0" xfId="0"/>
    <xf numFmtId="0" fontId="4" fillId="7" borderId="1" pivotButton="0" quotePrefix="0" xfId="0"/>
    <xf numFmtId="0" fontId="8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4" fillId="9" borderId="1" pivotButton="0" quotePrefix="0" xfId="0"/>
    <xf numFmtId="0" fontId="8" fillId="9" borderId="1" pivotButton="0" quotePrefix="0" xfId="0"/>
    <xf numFmtId="0" fontId="0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3" fillId="10" borderId="1" applyAlignment="1" pivotButton="0" quotePrefix="0" xfId="0">
      <alignment horizontal="center" vertical="center" wrapText="1"/>
    </xf>
    <xf numFmtId="9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8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1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5" fontId="0" fillId="7" borderId="1" applyAlignment="1" pivotButton="0" quotePrefix="0" xfId="0">
      <alignment horizontal="center" vertical="center" wrapText="1"/>
    </xf>
    <xf numFmtId="0" fontId="7" fillId="7" borderId="1" pivotButton="0" quotePrefix="0" xfId="0"/>
    <xf numFmtId="165" fontId="0" fillId="9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4" fillId="10" borderId="1" pivotButton="0" quotePrefix="0" xfId="0"/>
    <xf numFmtId="0" fontId="8" fillId="10" borderId="1" pivotButton="0" quotePrefix="0" xfId="0"/>
    <xf numFmtId="0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4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3" borderId="1" pivotButton="0" quotePrefix="0" xfId="0"/>
    <xf numFmtId="0" fontId="8" fillId="3" borderId="1" applyAlignment="1" pivotButton="0" quotePrefix="0" xfId="0">
      <alignment horizontal="left" vertical="top" wrapText="1"/>
    </xf>
    <xf numFmtId="0" fontId="4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6" customWidth="1" min="4" max="4"/>
    <col width="22" customWidth="1" min="5" max="5"/>
    <col width="16" customWidth="1" min="6" max="6"/>
    <col hidden="1" width="13" customWidth="1" min="7" max="7"/>
    <col hidden="1" width="13" customWidth="1" min="8" max="8"/>
  </cols>
  <sheetData>
    <row r="1" ht="34" customHeight="1">
      <c r="A1" s="1" t="inlineStr">
        <is>
          <t>Métricas de Software — Módulo Bolsillos (FuBank)</t>
        </is>
      </c>
      <c r="G1" s="2" t="inlineStr">
        <is>
          <t>E (def. pre-entrega)</t>
        </is>
      </c>
      <c r="H1" s="2" t="n">
        <v>5</v>
      </c>
    </row>
    <row r="2" ht="26" customHeight="1">
      <c r="A2" s="3" t="inlineStr">
        <is>
          <t>Validación y Verificación · Caja negra (backend) + caja blanca (frontend) · 5 funcionalidades · Fórmulas según Clase 09 - Métricas de Software</t>
        </is>
      </c>
      <c r="G2" s="2" t="inlineStr">
        <is>
          <t>D (def. post-entrega)</t>
        </is>
      </c>
      <c r="H2" s="2" t="n">
        <v>0</v>
      </c>
    </row>
    <row r="3">
      <c r="G3" s="2" t="inlineStr">
        <is>
          <t>Casos backend</t>
        </is>
      </c>
      <c r="H3" s="2" t="n">
        <v>65</v>
      </c>
    </row>
    <row r="4">
      <c r="A4" s="4" t="inlineStr">
        <is>
          <t>Proyecto</t>
        </is>
      </c>
      <c r="B4" s="5" t="inlineStr">
        <is>
          <t>FuBanking — Módulo Bolsillos</t>
        </is>
      </c>
      <c r="G4" s="2" t="inlineStr">
        <is>
          <t>Caminos frontend</t>
        </is>
      </c>
      <c r="H4" s="2" t="n">
        <v>17</v>
      </c>
    </row>
    <row r="5">
      <c r="A5" s="4" t="inlineStr">
        <is>
          <t>Funcionalidades</t>
        </is>
      </c>
      <c r="B5" s="5" t="inlineStr">
        <is>
          <t>Crear · Consultar · Actualizar · Eliminar · Transferir</t>
        </is>
      </c>
      <c r="G5" s="2" t="inlineStr">
        <is>
          <t>Nº funcionalidades</t>
        </is>
      </c>
      <c r="H5" s="2" t="n">
        <v>5</v>
      </c>
    </row>
    <row r="6">
      <c r="A6" s="4" t="inlineStr">
        <is>
          <t>Backend</t>
        </is>
      </c>
      <c r="B6" s="5" t="inlineStr">
        <is>
          <t>Casos de uso + Entidad Pocket + Validadores Zod (pruebas unitarias sin dobles)</t>
        </is>
      </c>
      <c r="G6" s="2" t="inlineStr">
        <is>
          <t>SLOC combinado</t>
        </is>
      </c>
      <c r="H6" s="2" t="n">
        <v>544</v>
      </c>
    </row>
    <row r="7">
      <c r="A7" s="4" t="inlineStr">
        <is>
          <t>Frontend</t>
        </is>
      </c>
      <c r="B7" s="5" t="inlineStr">
        <is>
          <t>Handlers de PocketsClient (pruebas de caja blanca por caminos, diagrama Frontend.drawio)</t>
        </is>
      </c>
      <c r="G7" s="2" t="inlineStr">
        <is>
          <t>SLOC backend</t>
        </is>
      </c>
      <c r="H7" s="2" t="n">
        <v>373</v>
      </c>
    </row>
    <row r="8">
      <c r="A8" s="4" t="inlineStr">
        <is>
          <t>Fecha de cálculo</t>
        </is>
      </c>
      <c r="B8" s="5" t="inlineStr">
        <is>
          <t>2026-09-01</t>
        </is>
      </c>
      <c r="G8" s="2" t="inlineStr">
        <is>
          <t>SLOC frontend</t>
        </is>
      </c>
      <c r="H8" s="2" t="n">
        <v>171</v>
      </c>
    </row>
    <row r="9">
      <c r="A9" s="4" t="inlineStr">
        <is>
          <t>Supuesto EED</t>
        </is>
      </c>
      <c r="B9" s="5" t="inlineStr">
        <is>
          <t>D = 0 (defectos post-entrega): el módulo aún no está en producción</t>
        </is>
      </c>
    </row>
    <row r="10">
      <c r="A10" s="4" t="inlineStr">
        <is>
          <t>Convención V(G)</t>
        </is>
      </c>
      <c r="B10" s="5" t="inlineStr">
        <is>
          <t>McCabe a nivel de predicado: V(G) = Decisiones + 1  (Clase 09, diapositiva 20)</t>
        </is>
      </c>
    </row>
    <row r="12">
      <c r="A12" s="6" t="inlineStr">
        <is>
          <t>Indicadores clave (KPI)</t>
        </is>
      </c>
    </row>
    <row r="13" ht="30" customHeight="1">
      <c r="A13" s="7" t="inlineStr">
        <is>
          <t>Indicador</t>
        </is>
      </c>
      <c r="B13" s="7" t="inlineStr">
        <is>
          <t>Valor</t>
        </is>
      </c>
      <c r="C13" s="7" t="inlineStr">
        <is>
          <t>Fórmula (Clase 09)</t>
        </is>
      </c>
      <c r="D13" s="7" t="inlineStr">
        <is>
          <t>Entrada</t>
        </is>
      </c>
      <c r="E13" s="7" t="inlineStr">
        <is>
          <t>Umbral</t>
        </is>
      </c>
      <c r="F13" s="7" t="inlineStr">
        <is>
          <t>Estado</t>
        </is>
      </c>
    </row>
    <row r="14">
      <c r="A14" s="8" t="inlineStr">
        <is>
          <t>Cobertura de requisitos</t>
        </is>
      </c>
      <c r="B14" s="9">
        <f>H5/H5</f>
        <v/>
      </c>
      <c r="C14" s="10" t="inlineStr">
        <is>
          <t>Req. cubiertos / Total req.</t>
        </is>
      </c>
      <c r="D14" s="5" t="inlineStr">
        <is>
          <t>5 / 5 funcionalidades</t>
        </is>
      </c>
      <c r="E14" s="11" t="inlineStr">
        <is>
          <t>&lt; 100% → validación incompleta</t>
        </is>
      </c>
      <c r="F14" s="12">
        <f>IF(B14&lt;1,"Revisar","OK")</f>
        <v/>
      </c>
    </row>
    <row r="15">
      <c r="A15" s="8" t="inlineStr">
        <is>
          <t>Total de pruebas</t>
        </is>
      </c>
      <c r="B15" s="13">
        <f>H3+H4</f>
        <v/>
      </c>
      <c r="C15" s="10" t="inlineStr">
        <is>
          <t>Casos backend + caminos frontend</t>
        </is>
      </c>
      <c r="D15" s="5" t="inlineStr">
        <is>
          <t>65 + 17</t>
        </is>
      </c>
      <c r="E15" s="11" t="inlineStr">
        <is>
          <t>—</t>
        </is>
      </c>
      <c r="F15" s="12" t="inlineStr">
        <is>
          <t>—</t>
        </is>
      </c>
    </row>
    <row r="16">
      <c r="A16" s="8" t="inlineStr">
        <is>
          <t>Defectos detectados (E)</t>
        </is>
      </c>
      <c r="B16" s="13">
        <f>H1</f>
        <v/>
      </c>
      <c r="C16" s="10" t="inlineStr">
        <is>
          <t>Nº de defectos hallados en pruebas</t>
        </is>
      </c>
      <c r="D16" s="5" t="inlineStr">
        <is>
          <t>D-01…D-05</t>
        </is>
      </c>
      <c r="E16" s="11" t="inlineStr">
        <is>
          <t>—</t>
        </is>
      </c>
      <c r="F16" s="12" t="inlineStr">
        <is>
          <t>5 documentados</t>
        </is>
      </c>
    </row>
    <row r="17">
      <c r="A17" s="8" t="inlineStr">
        <is>
          <t>Eficacia elim. defectos (EED)</t>
        </is>
      </c>
      <c r="B17" s="9">
        <f>H1/(H1+H2)</f>
        <v/>
      </c>
      <c r="C17" s="10" t="inlineStr">
        <is>
          <t>EED = E / (E + D)</t>
        </is>
      </c>
      <c r="D17" s="5" t="inlineStr">
        <is>
          <t>5 / (5 + 0)</t>
        </is>
      </c>
      <c r="E17" s="11" t="inlineStr">
        <is>
          <t>cercano a 1 → bueno</t>
        </is>
      </c>
      <c r="F17" s="12">
        <f>IF(B17&gt;=0.9,"OK","Revisar")</f>
        <v/>
      </c>
    </row>
    <row r="18">
      <c r="A18" s="8" t="inlineStr">
        <is>
          <t>Densidad de fallos (combinada)</t>
        </is>
      </c>
      <c r="B18" s="14">
        <f>H1/(H6/1000)</f>
        <v/>
      </c>
      <c r="C18" s="10" t="inlineStr">
        <is>
          <t>Defectos / KLoC</t>
        </is>
      </c>
      <c r="D18" s="5" t="inlineStr">
        <is>
          <t>5 / 0,544 KLoC</t>
        </is>
      </c>
      <c r="E18" s="11" t="inlineStr">
        <is>
          <t>&gt; 5 /KLoC → calidad baja</t>
        </is>
      </c>
      <c r="F18" s="12">
        <f>IF(B18&gt;5,"Alerta","OK")</f>
        <v/>
      </c>
    </row>
    <row r="19">
      <c r="A19" s="8" t="inlineStr">
        <is>
          <t>Tasa de defectos / funcionalidad</t>
        </is>
      </c>
      <c r="B19" s="14">
        <f>H1/H5</f>
        <v/>
      </c>
      <c r="C19" s="10" t="inlineStr">
        <is>
          <t>Defectos / nº funcionalidades</t>
        </is>
      </c>
      <c r="D19" s="5" t="inlineStr">
        <is>
          <t>5 / 5</t>
        </is>
      </c>
      <c r="E19" s="11" t="inlineStr">
        <is>
          <t>—</t>
        </is>
      </c>
      <c r="F19" s="12" t="inlineStr">
        <is>
          <t>1,0</t>
        </is>
      </c>
    </row>
    <row r="21">
      <c r="A21" s="15" t="inlineStr">
        <is>
          <t>Nota: las métricas estructurales (V(G), cognitiva, LoC, cobertura de caminos) se calculan estáticamente del código y son exactas. Los tiempos de respuesta y el uso de CPU/memoria requieren una corrida instrumentada (ver hoja ISO 25010). El conteo aprobado/fallido en vivo depende de Supabase con la tabla 'pockets' disponible y del backend levantado para el frontend.</t>
        </is>
      </c>
    </row>
    <row r="22"/>
    <row r="23"/>
  </sheetData>
  <mergeCells count="11">
    <mergeCell ref="B4:F4"/>
    <mergeCell ref="A2:F2"/>
    <mergeCell ref="B7:F7"/>
    <mergeCell ref="B6:F6"/>
    <mergeCell ref="B10:F10"/>
    <mergeCell ref="A1:F1"/>
    <mergeCell ref="B5:F5"/>
    <mergeCell ref="A21:F23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8" customWidth="1" min="9" max="9"/>
  </cols>
  <sheetData>
    <row r="1" ht="34" customHeight="1">
      <c r="A1" s="1" t="inlineStr">
        <is>
          <t>1 · Métricas de Pruebas</t>
        </is>
      </c>
    </row>
    <row r="2" ht="26" customHeight="1">
      <c r="A2" s="3" t="inlineStr">
        <is>
          <t>Cobertura de requisitos (diap. 17) · Cobertura estructural estimada / decisión (diap. 11-12) · Nº de errores (diap. 14-16) · EED (diap. 13)</t>
        </is>
      </c>
    </row>
    <row r="3" ht="30" customHeight="1">
      <c r="A3" s="7" t="inlineStr">
        <is>
          <t>Funcionalidad</t>
        </is>
      </c>
      <c r="B3" s="7" t="inlineStr">
        <is>
          <t>Capa</t>
        </is>
      </c>
      <c r="C3" s="7" t="inlineStr">
        <is>
          <t>Unidad / Handler</t>
        </is>
      </c>
      <c r="D3" s="7" t="inlineStr">
        <is>
          <t>Casos diseñados</t>
        </is>
      </c>
      <c r="E3" s="7" t="inlineStr">
        <is>
          <t>Defectos (E)</t>
        </is>
      </c>
      <c r="F3" s="7" t="inlineStr">
        <is>
          <t>Ramas cubiertas</t>
        </is>
      </c>
      <c r="G3" s="7" t="inlineStr">
        <is>
          <t>Ramas totales</t>
        </is>
      </c>
      <c r="H3" s="7" t="inlineStr">
        <is>
          <t>Cobertura estructural</t>
        </is>
      </c>
      <c r="I3" s="7" t="inlineStr">
        <is>
          <t>Estado (umbral 80%)</t>
        </is>
      </c>
    </row>
    <row r="4">
      <c r="A4" s="16" t="inlineStr">
        <is>
          <t>Crear</t>
        </is>
      </c>
      <c r="B4" s="17" t="inlineStr">
        <is>
          <t>Backend</t>
        </is>
      </c>
      <c r="C4" s="18" t="inlineStr">
        <is>
          <t>CreatePocket.execute</t>
        </is>
      </c>
      <c r="D4" s="19" t="n">
        <v>25</v>
      </c>
      <c r="E4" s="20" t="n">
        <v>4</v>
      </c>
      <c r="F4" s="19" t="n">
        <v>9</v>
      </c>
      <c r="G4" s="19" t="n">
        <v>10</v>
      </c>
      <c r="H4" s="21">
        <f>F4/G4</f>
        <v/>
      </c>
      <c r="I4" s="22">
        <f>IF(H4&gt;=0.8,"OK","Ampliar pruebas")</f>
        <v/>
      </c>
    </row>
    <row r="5">
      <c r="A5" s="16" t="inlineStr">
        <is>
          <t>Consultar</t>
        </is>
      </c>
      <c r="B5" s="17" t="inlineStr">
        <is>
          <t>Backend</t>
        </is>
      </c>
      <c r="C5" s="18" t="inlineStr">
        <is>
          <t>GetAccountPockets.execute</t>
        </is>
      </c>
      <c r="D5" s="19" t="n">
        <v>5</v>
      </c>
      <c r="E5" s="23" t="n">
        <v>0</v>
      </c>
      <c r="F5" s="19" t="n">
        <v>2</v>
      </c>
      <c r="G5" s="19" t="n">
        <v>2</v>
      </c>
      <c r="H5" s="21">
        <f>F5/G5</f>
        <v/>
      </c>
      <c r="I5" s="22">
        <f>IF(H5&gt;=0.8,"OK","Ampliar pruebas")</f>
        <v/>
      </c>
    </row>
    <row r="6">
      <c r="A6" s="16" t="inlineStr">
        <is>
          <t>Actualizar</t>
        </is>
      </c>
      <c r="B6" s="17" t="inlineStr">
        <is>
          <t>Backend</t>
        </is>
      </c>
      <c r="C6" s="18" t="inlineStr">
        <is>
          <t>UpdatePocket.execute</t>
        </is>
      </c>
      <c r="D6" s="19" t="n">
        <v>19</v>
      </c>
      <c r="E6" s="20" t="n">
        <v>1</v>
      </c>
      <c r="F6" s="19" t="n">
        <v>17</v>
      </c>
      <c r="G6" s="19" t="n">
        <v>20</v>
      </c>
      <c r="H6" s="21">
        <f>F6/G6</f>
        <v/>
      </c>
      <c r="I6" s="22">
        <f>IF(H6&gt;=0.8,"OK","Ampliar pruebas")</f>
        <v/>
      </c>
    </row>
    <row r="7">
      <c r="A7" s="16" t="inlineStr">
        <is>
          <t>Eliminar</t>
        </is>
      </c>
      <c r="B7" s="17" t="inlineStr">
        <is>
          <t>Backend</t>
        </is>
      </c>
      <c r="C7" s="18" t="inlineStr">
        <is>
          <t>DeletePocket.execute</t>
        </is>
      </c>
      <c r="D7" s="19" t="n">
        <v>4</v>
      </c>
      <c r="E7" s="23" t="n">
        <v>0</v>
      </c>
      <c r="F7" s="19" t="n">
        <v>5</v>
      </c>
      <c r="G7" s="19" t="n">
        <v>8</v>
      </c>
      <c r="H7" s="21">
        <f>F7/G7</f>
        <v/>
      </c>
      <c r="I7" s="24">
        <f>IF(H7&gt;=0.8,"OK","Ampliar pruebas")</f>
        <v/>
      </c>
    </row>
    <row r="8">
      <c r="A8" s="16" t="inlineStr">
        <is>
          <t>Transferir</t>
        </is>
      </c>
      <c r="B8" s="17" t="inlineStr">
        <is>
          <t>Backend</t>
        </is>
      </c>
      <c r="C8" s="18" t="inlineStr">
        <is>
          <t>TransferPocketBalance.execute</t>
        </is>
      </c>
      <c r="D8" s="19" t="n">
        <v>12</v>
      </c>
      <c r="E8" s="23" t="n">
        <v>0</v>
      </c>
      <c r="F8" s="19" t="n">
        <v>15</v>
      </c>
      <c r="G8" s="19" t="n">
        <v>18</v>
      </c>
      <c r="H8" s="21">
        <f>F8/G8</f>
        <v/>
      </c>
      <c r="I8" s="22">
        <f>IF(H8&gt;=0.8,"OK","Ampliar pruebas")</f>
        <v/>
      </c>
    </row>
    <row r="9">
      <c r="A9" s="25" t="inlineStr">
        <is>
          <t>Crear</t>
        </is>
      </c>
      <c r="B9" s="26" t="inlineStr">
        <is>
          <t>Frontend</t>
        </is>
      </c>
      <c r="C9" s="27" t="inlineStr">
        <is>
          <t>handleCreate</t>
        </is>
      </c>
      <c r="D9" s="28" t="n">
        <v>4</v>
      </c>
      <c r="E9" s="29" t="n">
        <v>0</v>
      </c>
      <c r="F9" s="28" t="n">
        <v>3</v>
      </c>
      <c r="G9" s="28" t="n">
        <v>3</v>
      </c>
      <c r="H9" s="21">
        <f>F9/G9</f>
        <v/>
      </c>
      <c r="I9" s="22">
        <f>IF(H9&gt;=0.8,"OK","Ampliar pruebas")</f>
        <v/>
      </c>
    </row>
    <row r="10">
      <c r="A10" s="25" t="inlineStr">
        <is>
          <t>Consultar</t>
        </is>
      </c>
      <c r="B10" s="26" t="inlineStr">
        <is>
          <t>Frontend</t>
        </is>
      </c>
      <c r="C10" s="27" t="inlineStr">
        <is>
          <t>loadPockets</t>
        </is>
      </c>
      <c r="D10" s="28" t="n">
        <v>3</v>
      </c>
      <c r="E10" s="29" t="n">
        <v>0</v>
      </c>
      <c r="F10" s="28" t="n">
        <v>2</v>
      </c>
      <c r="G10" s="28" t="n">
        <v>2</v>
      </c>
      <c r="H10" s="21">
        <f>F10/G10</f>
        <v/>
      </c>
      <c r="I10" s="22">
        <f>IF(H10&gt;=0.8,"OK","Ampliar pruebas")</f>
        <v/>
      </c>
    </row>
    <row r="11">
      <c r="A11" s="25" t="inlineStr">
        <is>
          <t>Actualizar</t>
        </is>
      </c>
      <c r="B11" s="26" t="inlineStr">
        <is>
          <t>Frontend</t>
        </is>
      </c>
      <c r="C11" s="27" t="inlineStr">
        <is>
          <t>handleSaveEdit</t>
        </is>
      </c>
      <c r="D11" s="28" t="n">
        <v>3</v>
      </c>
      <c r="E11" s="29" t="n">
        <v>0</v>
      </c>
      <c r="F11" s="28" t="n">
        <v>3</v>
      </c>
      <c r="G11" s="28" t="n">
        <v>3</v>
      </c>
      <c r="H11" s="21">
        <f>F11/G11</f>
        <v/>
      </c>
      <c r="I11" s="22">
        <f>IF(H11&gt;=0.8,"OK","Ampliar pruebas")</f>
        <v/>
      </c>
    </row>
    <row r="12">
      <c r="A12" s="25" t="inlineStr">
        <is>
          <t>Eliminar</t>
        </is>
      </c>
      <c r="B12" s="26" t="inlineStr">
        <is>
          <t>Frontend</t>
        </is>
      </c>
      <c r="C12" s="27" t="inlineStr">
        <is>
          <t>confirmDelete</t>
        </is>
      </c>
      <c r="D12" s="28" t="n">
        <v>3</v>
      </c>
      <c r="E12" s="29" t="n">
        <v>0</v>
      </c>
      <c r="F12" s="28" t="n">
        <v>3</v>
      </c>
      <c r="G12" s="28" t="n">
        <v>3</v>
      </c>
      <c r="H12" s="21">
        <f>F12/G12</f>
        <v/>
      </c>
      <c r="I12" s="22">
        <f>IF(H12&gt;=0.8,"OK","Ampliar pruebas")</f>
        <v/>
      </c>
    </row>
    <row r="13">
      <c r="A13" s="25" t="inlineStr">
        <is>
          <t>Transferir</t>
        </is>
      </c>
      <c r="B13" s="26" t="inlineStr">
        <is>
          <t>Frontend</t>
        </is>
      </c>
      <c r="C13" s="27" t="inlineStr">
        <is>
          <t>handleTransfer</t>
        </is>
      </c>
      <c r="D13" s="28" t="n">
        <v>4</v>
      </c>
      <c r="E13" s="29" t="n">
        <v>0</v>
      </c>
      <c r="F13" s="28" t="n">
        <v>3</v>
      </c>
      <c r="G13" s="28" t="n">
        <v>3</v>
      </c>
      <c r="H13" s="21">
        <f>F13/G13</f>
        <v/>
      </c>
      <c r="I13" s="22">
        <f>IF(H13&gt;=0.8,"OK","Ampliar pruebas")</f>
        <v/>
      </c>
    </row>
    <row r="14">
      <c r="A14" s="30" t="inlineStr">
        <is>
          <t>TOTAL</t>
        </is>
      </c>
      <c r="B14" s="30" t="inlineStr">
        <is>
          <t>BE+FE</t>
        </is>
      </c>
      <c r="C14" s="30" t="inlineStr">
        <is>
          <t>Módulo Bolsillos</t>
        </is>
      </c>
      <c r="D14" s="31">
        <f>SUM(D4:D13)</f>
        <v/>
      </c>
      <c r="E14" s="31">
        <f>SUM(E4:E13)</f>
        <v/>
      </c>
      <c r="F14" s="31">
        <f>SUM(F4:F13)</f>
        <v/>
      </c>
      <c r="G14" s="31">
        <f>SUM(G4:G13)</f>
        <v/>
      </c>
      <c r="H14" s="32">
        <f>F14/G14</f>
        <v/>
      </c>
      <c r="I14" s="33" t="inlineStr"/>
    </row>
    <row r="16">
      <c r="A16" s="6" t="inlineStr">
        <is>
          <t>Eficacia de eliminación de defectos y cobertura de requisitos</t>
        </is>
      </c>
    </row>
    <row r="17" ht="30" customHeight="1">
      <c r="A17" s="7" t="inlineStr">
        <is>
          <t>Métrica</t>
        </is>
      </c>
      <c r="B17" s="7" t="inlineStr">
        <is>
          <t>Fórmula</t>
        </is>
      </c>
      <c r="C17" s="7" t="inlineStr">
        <is>
          <t>Entrada</t>
        </is>
      </c>
      <c r="D17" s="7" t="inlineStr">
        <is>
          <t>Resultado</t>
        </is>
      </c>
      <c r="E17" s="7" t="inlineStr">
        <is>
          <t>Interpretación</t>
        </is>
      </c>
      <c r="F17" s="34" t="n"/>
      <c r="G17" s="34" t="n"/>
      <c r="H17" s="34" t="n"/>
      <c r="I17" s="35" t="n"/>
    </row>
    <row r="18">
      <c r="A18" s="36" t="inlineStr">
        <is>
          <t>Cobertura de requisitos</t>
        </is>
      </c>
      <c r="B18" s="37" t="inlineStr">
        <is>
          <t>Req. cubiertos / Total req.</t>
        </is>
      </c>
      <c r="C18" s="38" t="inlineStr">
        <is>
          <t>5 / 5 funcionalidades</t>
        </is>
      </c>
      <c r="D18" s="21">
        <f>5/5</f>
        <v/>
      </c>
      <c r="E18" s="5" t="inlineStr">
        <is>
          <t>100%: las 5 funcionalidades tienen pruebas en backend y frontend. Umbral diap.68: &lt;100% → validación incompleta.</t>
        </is>
      </c>
      <c r="F18" s="39" t="n"/>
      <c r="G18" s="39" t="n"/>
      <c r="H18" s="39" t="n"/>
      <c r="I18" s="39" t="n"/>
    </row>
    <row r="19">
      <c r="A19" s="36" t="inlineStr">
        <is>
          <t>EED (Eficacia elim. defectos)</t>
        </is>
      </c>
      <c r="B19" s="37" t="inlineStr">
        <is>
          <t>E / (E + D)</t>
        </is>
      </c>
      <c r="C19" s="38" t="inlineStr">
        <is>
          <t>E=5 (pruebas), D=0 (producción)</t>
        </is>
      </c>
      <c r="D19" s="21">
        <f>E14/(E14+0)</f>
        <v/>
      </c>
      <c r="E19" s="5" t="inlineStr">
        <is>
          <t>1,00 → los 5 defectos conocidos se detectaron antes de la entrega. Trivialmente 100% porque D=0 (sin despliegue).</t>
        </is>
      </c>
      <c r="F19" s="39" t="n"/>
      <c r="G19" s="39" t="n"/>
      <c r="H19" s="39" t="n"/>
      <c r="I19" s="39" t="n"/>
    </row>
    <row r="20">
      <c r="A20" s="36" t="inlineStr">
        <is>
          <t>Nº de errores (backend)</t>
        </is>
      </c>
      <c r="B20" s="37" t="inlineStr">
        <is>
          <t>Conteo de defectos</t>
        </is>
      </c>
      <c r="C20" s="38" t="inlineStr">
        <is>
          <t>D-01…D-05</t>
        </is>
      </c>
      <c r="D20" s="40">
        <f>E14</f>
        <v/>
      </c>
      <c r="E20" s="5" t="inlineStr">
        <is>
          <t>5 defectos reales revelados por las pruebas: 4 en Crear, 1 en Actualizar. Detalle en hoja Trazabilidad.</t>
        </is>
      </c>
      <c r="F20" s="39" t="n"/>
      <c r="G20" s="39" t="n"/>
      <c r="H20" s="39" t="n"/>
      <c r="I20" s="39" t="n"/>
    </row>
    <row r="21">
      <c r="A21" s="36" t="inlineStr">
        <is>
          <t>Densidad de fallos (backend)</t>
        </is>
      </c>
      <c r="B21" s="37" t="inlineStr">
        <is>
          <t>Defectos / KLoC</t>
        </is>
      </c>
      <c r="C21" s="38" t="inlineStr">
        <is>
          <t>5 / 0,373 KLoC</t>
        </is>
      </c>
      <c r="D21" s="41">
        <f>5/(373/1000)</f>
        <v/>
      </c>
      <c r="E21" s="5" t="inlineStr">
        <is>
          <t>13,4 /KLoC sobre el código bajo prueba. &gt; 5 /KLoC (diap.68) → señal de calidad baja; son casos límite de validación, no fallos en producción.</t>
        </is>
      </c>
      <c r="F21" s="39" t="n"/>
      <c r="G21" s="39" t="n"/>
      <c r="H21" s="39" t="n"/>
      <c r="I21" s="39" t="n"/>
    </row>
  </sheetData>
  <mergeCells count="8">
    <mergeCell ref="E21:I21"/>
    <mergeCell ref="A2:I2"/>
    <mergeCell ref="E20:I20"/>
    <mergeCell ref="A1:I1"/>
    <mergeCell ref="E19:I19"/>
    <mergeCell ref="E18:I18"/>
    <mergeCell ref="E17:I17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4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 ht="34" customHeight="1">
      <c r="A1" s="1" t="inlineStr">
        <is>
          <t>2 · Métricas Estructurales</t>
        </is>
      </c>
    </row>
    <row r="2" ht="26" customHeight="1">
      <c r="A2" s="3" t="inlineStr">
        <is>
          <t>Complejidad ciclomática V(G)=D+1 (diap. 19-20) · Complejidad cognitiva (diap. 21-23) · Cobertura de caminos (diap. 11)</t>
        </is>
      </c>
    </row>
    <row r="3" ht="30" customHeight="1">
      <c r="A3" s="7" t="inlineStr">
        <is>
          <t>Funcionalidad</t>
        </is>
      </c>
      <c r="B3" s="7" t="inlineStr">
        <is>
          <t>Capa</t>
        </is>
      </c>
      <c r="C3" s="7" t="inlineStr">
        <is>
          <t>Unidad / Handler</t>
        </is>
      </c>
      <c r="D3" s="7" t="inlineStr">
        <is>
          <t>Decisiones (D)</t>
        </is>
      </c>
      <c r="E3" s="7" t="inlineStr">
        <is>
          <t>V(G) = D+1</t>
        </is>
      </c>
      <c r="F3" s="7" t="inlineStr">
        <is>
          <t>Riesgo V(G)</t>
        </is>
      </c>
      <c r="G3" s="7" t="inlineStr">
        <is>
          <t>Compl. cognitiva</t>
        </is>
      </c>
      <c r="H3" s="7" t="inlineStr">
        <is>
          <t>Nivel cognitiva</t>
        </is>
      </c>
      <c r="I3" s="7" t="inlineStr">
        <is>
          <t>Caminos base / probados</t>
        </is>
      </c>
    </row>
    <row r="4">
      <c r="A4" s="16" t="inlineStr">
        <is>
          <t>Crear</t>
        </is>
      </c>
      <c r="B4" s="17" t="inlineStr">
        <is>
          <t>Backend</t>
        </is>
      </c>
      <c r="C4" s="18" t="inlineStr">
        <is>
          <t>CreatePocket.execute</t>
        </is>
      </c>
      <c r="D4" s="19" t="n">
        <v>5</v>
      </c>
      <c r="E4" s="42">
        <f>D4+1</f>
        <v/>
      </c>
      <c r="F4" s="22">
        <f>IF(E4&gt;10,"Alto riesgo",IF(E4&gt;7,"Moderado","Bajo"))</f>
        <v/>
      </c>
      <c r="G4" s="23" t="n">
        <v>5</v>
      </c>
      <c r="H4" s="22">
        <f>IF(G4&gt;15,"Crítica",IF(G4&gt;10,"Alta",IF(G4&gt;5,"Moderada","Baja")))</f>
        <v/>
      </c>
      <c r="I4" s="19" t="inlineStr">
        <is>
          <t>n/a (caja negra)</t>
        </is>
      </c>
    </row>
    <row r="5">
      <c r="A5" s="16" t="inlineStr">
        <is>
          <t>Consultar</t>
        </is>
      </c>
      <c r="B5" s="17" t="inlineStr">
        <is>
          <t>Backend</t>
        </is>
      </c>
      <c r="C5" s="18" t="inlineStr">
        <is>
          <t>GetAccountPockets.execute</t>
        </is>
      </c>
      <c r="D5" s="19" t="n">
        <v>1</v>
      </c>
      <c r="E5" s="42">
        <f>D5+1</f>
        <v/>
      </c>
      <c r="F5" s="22">
        <f>IF(E5&gt;10,"Alto riesgo",IF(E5&gt;7,"Moderado","Bajo"))</f>
        <v/>
      </c>
      <c r="G5" s="23" t="n">
        <v>1</v>
      </c>
      <c r="H5" s="22">
        <f>IF(G5&gt;15,"Crítica",IF(G5&gt;10,"Alta",IF(G5&gt;5,"Moderada","Baja")))</f>
        <v/>
      </c>
      <c r="I5" s="19" t="inlineStr">
        <is>
          <t>n/a (caja negra)</t>
        </is>
      </c>
    </row>
    <row r="6">
      <c r="A6" s="16" t="inlineStr">
        <is>
          <t>Actualizar</t>
        </is>
      </c>
      <c r="B6" s="17" t="inlineStr">
        <is>
          <t>Backend</t>
        </is>
      </c>
      <c r="C6" s="18" t="inlineStr">
        <is>
          <t>UpdatePocket.execute</t>
        </is>
      </c>
      <c r="D6" s="19" t="n">
        <v>10</v>
      </c>
      <c r="E6" s="42">
        <f>D6+1</f>
        <v/>
      </c>
      <c r="F6" s="43">
        <f>IF(E6&gt;10,"Alto riesgo",IF(E6&gt;7,"Moderado","Bajo"))</f>
        <v/>
      </c>
      <c r="G6" s="23" t="n">
        <v>16</v>
      </c>
      <c r="H6" s="43">
        <f>IF(G6&gt;15,"Crítica",IF(G6&gt;10,"Alta",IF(G6&gt;5,"Moderada","Baja")))</f>
        <v/>
      </c>
      <c r="I6" s="19" t="inlineStr">
        <is>
          <t>n/a (caja negra)</t>
        </is>
      </c>
    </row>
    <row r="7">
      <c r="A7" s="16" t="inlineStr">
        <is>
          <t>Eliminar</t>
        </is>
      </c>
      <c r="B7" s="17" t="inlineStr">
        <is>
          <t>Backend</t>
        </is>
      </c>
      <c r="C7" s="18" t="inlineStr">
        <is>
          <t>DeletePocket.execute</t>
        </is>
      </c>
      <c r="D7" s="19" t="n">
        <v>4</v>
      </c>
      <c r="E7" s="42">
        <f>D7+1</f>
        <v/>
      </c>
      <c r="F7" s="22">
        <f>IF(E7&gt;10,"Alto riesgo",IF(E7&gt;7,"Moderado","Bajo"))</f>
        <v/>
      </c>
      <c r="G7" s="23" t="n">
        <v>4</v>
      </c>
      <c r="H7" s="22">
        <f>IF(G7&gt;15,"Crítica",IF(G7&gt;10,"Alta",IF(G7&gt;5,"Moderada","Baja")))</f>
        <v/>
      </c>
      <c r="I7" s="19" t="inlineStr">
        <is>
          <t>n/a (caja negra)</t>
        </is>
      </c>
    </row>
    <row r="8">
      <c r="A8" s="16" t="inlineStr">
        <is>
          <t>Transferir</t>
        </is>
      </c>
      <c r="B8" s="17" t="inlineStr">
        <is>
          <t>Backend</t>
        </is>
      </c>
      <c r="C8" s="18" t="inlineStr">
        <is>
          <t>TransferPocketBalance.execute</t>
        </is>
      </c>
      <c r="D8" s="19" t="n">
        <v>9</v>
      </c>
      <c r="E8" s="42">
        <f>D8+1</f>
        <v/>
      </c>
      <c r="F8" s="24">
        <f>IF(E8&gt;10,"Alto riesgo",IF(E8&gt;7,"Moderado","Bajo"))</f>
        <v/>
      </c>
      <c r="G8" s="23" t="n">
        <v>9</v>
      </c>
      <c r="H8" s="22">
        <f>IF(G8&gt;15,"Crítica",IF(G8&gt;10,"Alta",IF(G8&gt;5,"Moderada","Baja")))</f>
        <v/>
      </c>
      <c r="I8" s="19" t="inlineStr">
        <is>
          <t>n/a (caja negra)</t>
        </is>
      </c>
    </row>
    <row r="9">
      <c r="A9" s="25" t="inlineStr">
        <is>
          <t>Crear</t>
        </is>
      </c>
      <c r="B9" s="26" t="inlineStr">
        <is>
          <t>Frontend</t>
        </is>
      </c>
      <c r="C9" s="27" t="inlineStr">
        <is>
          <t>handleCreate</t>
        </is>
      </c>
      <c r="D9" s="28" t="n">
        <v>2</v>
      </c>
      <c r="E9" s="42">
        <f>D9+1</f>
        <v/>
      </c>
      <c r="F9" s="22">
        <f>IF(E9&gt;10,"Alto riesgo",IF(E9&gt;7,"Moderado","Bajo"))</f>
        <v/>
      </c>
      <c r="G9" s="29" t="n">
        <v>3</v>
      </c>
      <c r="H9" s="22">
        <f>IF(G9&gt;15,"Crítica",IF(G9&gt;10,"Alta",IF(G9&gt;5,"Moderada","Baja")))</f>
        <v/>
      </c>
      <c r="I9" s="28" t="inlineStr">
        <is>
          <t>3 / 4</t>
        </is>
      </c>
    </row>
    <row r="10">
      <c r="A10" s="25" t="inlineStr">
        <is>
          <t>Consultar</t>
        </is>
      </c>
      <c r="B10" s="26" t="inlineStr">
        <is>
          <t>Frontend</t>
        </is>
      </c>
      <c r="C10" s="27" t="inlineStr">
        <is>
          <t>loadPockets</t>
        </is>
      </c>
      <c r="D10" s="28" t="n">
        <v>1</v>
      </c>
      <c r="E10" s="42">
        <f>D10+1</f>
        <v/>
      </c>
      <c r="F10" s="22">
        <f>IF(E10&gt;10,"Alto riesgo",IF(E10&gt;7,"Moderado","Bajo"))</f>
        <v/>
      </c>
      <c r="G10" s="29" t="n">
        <v>1</v>
      </c>
      <c r="H10" s="22">
        <f>IF(G10&gt;15,"Crítica",IF(G10&gt;10,"Alta",IF(G10&gt;5,"Moderada","Baja")))</f>
        <v/>
      </c>
      <c r="I10" s="28" t="inlineStr">
        <is>
          <t>2 / 3</t>
        </is>
      </c>
    </row>
    <row r="11">
      <c r="A11" s="25" t="inlineStr">
        <is>
          <t>Actualizar</t>
        </is>
      </c>
      <c r="B11" s="26" t="inlineStr">
        <is>
          <t>Frontend</t>
        </is>
      </c>
      <c r="C11" s="27" t="inlineStr">
        <is>
          <t>handleSaveEdit</t>
        </is>
      </c>
      <c r="D11" s="28" t="n">
        <v>2</v>
      </c>
      <c r="E11" s="42">
        <f>D11+1</f>
        <v/>
      </c>
      <c r="F11" s="22">
        <f>IF(E11&gt;10,"Alto riesgo",IF(E11&gt;7,"Moderado","Bajo"))</f>
        <v/>
      </c>
      <c r="G11" s="29" t="n">
        <v>2</v>
      </c>
      <c r="H11" s="22">
        <f>IF(G11&gt;15,"Crítica",IF(G11&gt;10,"Alta",IF(G11&gt;5,"Moderada","Baja")))</f>
        <v/>
      </c>
      <c r="I11" s="28" t="inlineStr">
        <is>
          <t>3 / 3</t>
        </is>
      </c>
    </row>
    <row r="12">
      <c r="A12" s="25" t="inlineStr">
        <is>
          <t>Eliminar</t>
        </is>
      </c>
      <c r="B12" s="26" t="inlineStr">
        <is>
          <t>Frontend</t>
        </is>
      </c>
      <c r="C12" s="27" t="inlineStr">
        <is>
          <t>confirmDelete</t>
        </is>
      </c>
      <c r="D12" s="28" t="n">
        <v>2</v>
      </c>
      <c r="E12" s="42">
        <f>D12+1</f>
        <v/>
      </c>
      <c r="F12" s="22">
        <f>IF(E12&gt;10,"Alto riesgo",IF(E12&gt;7,"Moderado","Bajo"))</f>
        <v/>
      </c>
      <c r="G12" s="29" t="n">
        <v>2</v>
      </c>
      <c r="H12" s="22">
        <f>IF(G12&gt;15,"Crítica",IF(G12&gt;10,"Alta",IF(G12&gt;5,"Moderada","Baja")))</f>
        <v/>
      </c>
      <c r="I12" s="28" t="inlineStr">
        <is>
          <t>3 / 3</t>
        </is>
      </c>
    </row>
    <row r="13">
      <c r="A13" s="25" t="inlineStr">
        <is>
          <t>Transferir</t>
        </is>
      </c>
      <c r="B13" s="26" t="inlineStr">
        <is>
          <t>Frontend</t>
        </is>
      </c>
      <c r="C13" s="27" t="inlineStr">
        <is>
          <t>handleTransfer</t>
        </is>
      </c>
      <c r="D13" s="28" t="n">
        <v>2</v>
      </c>
      <c r="E13" s="42">
        <f>D13+1</f>
        <v/>
      </c>
      <c r="F13" s="22">
        <f>IF(E13&gt;10,"Alto riesgo",IF(E13&gt;7,"Moderado","Bajo"))</f>
        <v/>
      </c>
      <c r="G13" s="29" t="n">
        <v>3</v>
      </c>
      <c r="H13" s="22">
        <f>IF(G13&gt;15,"Crítica",IF(G13&gt;10,"Alta",IF(G13&gt;5,"Moderada","Baja")))</f>
        <v/>
      </c>
      <c r="I13" s="28" t="inlineStr">
        <is>
          <t>3 / 4</t>
        </is>
      </c>
    </row>
    <row r="15">
      <c r="A15" s="6" t="inlineStr">
        <is>
          <t>Cobertura de caminos — Frontend (caja blanca)</t>
        </is>
      </c>
    </row>
    <row r="16" ht="30" customHeight="1">
      <c r="A16" s="7" t="inlineStr">
        <is>
          <t>Funcionalidad</t>
        </is>
      </c>
      <c r="B16" s="7" t="inlineStr">
        <is>
          <t>Handler</t>
        </is>
      </c>
      <c r="C16" s="7" t="inlineStr">
        <is>
          <t>V(G)</t>
        </is>
      </c>
      <c r="D16" s="7" t="inlineStr">
        <is>
          <t>Caminos base</t>
        </is>
      </c>
      <c r="E16" s="7" t="inlineStr">
        <is>
          <t>Caminos cubiertos</t>
        </is>
      </c>
      <c r="F16" s="7" t="inlineStr">
        <is>
          <t>Cobertura de caminos</t>
        </is>
      </c>
      <c r="G16" s="7" t="inlineStr">
        <is>
          <t>Estado</t>
        </is>
      </c>
      <c r="H16" s="7" t="inlineStr">
        <is>
          <t>Cobertura de condición</t>
        </is>
      </c>
      <c r="I16" s="7" t="inlineStr">
        <is>
          <t>Observación</t>
        </is>
      </c>
    </row>
    <row r="17" ht="30" customHeight="1">
      <c r="A17" s="25" t="inlineStr">
        <is>
          <t>Crear</t>
        </is>
      </c>
      <c r="B17" s="27" t="inlineStr">
        <is>
          <t>handleCreate</t>
        </is>
      </c>
      <c r="C17" s="28" t="n">
        <v>3</v>
      </c>
      <c r="D17" s="28" t="n">
        <v>3</v>
      </c>
      <c r="E17" s="28" t="n">
        <v>3</v>
      </c>
      <c r="F17" s="21">
        <f>E17/D17</f>
        <v/>
      </c>
      <c r="G17" s="22">
        <f>IF(F17&gt;=0.8,"OK","Ampliar")</f>
        <v/>
      </c>
      <c r="H17" s="28" t="inlineStr">
        <is>
          <t>100%</t>
        </is>
      </c>
      <c r="I17" s="44" t="inlineStr">
        <is>
          <t>Nodo 1: OR de 2 cláusulas; ambas probadas (C1, C1b) → cobertura de condición 100%</t>
        </is>
      </c>
    </row>
    <row r="18" ht="30" customHeight="1">
      <c r="A18" s="25" t="inlineStr">
        <is>
          <t>Consultar</t>
        </is>
      </c>
      <c r="B18" s="27" t="inlineStr">
        <is>
          <t>loadPockets</t>
        </is>
      </c>
      <c r="C18" s="28" t="n">
        <v>2</v>
      </c>
      <c r="D18" s="28" t="n">
        <v>2</v>
      </c>
      <c r="E18" s="28" t="n">
        <v>2</v>
      </c>
      <c r="F18" s="21">
        <f>E18/D18</f>
        <v/>
      </c>
      <c r="G18" s="22">
        <f>IF(F18&gt;=0.8,"OK","Ampliar")</f>
        <v/>
      </c>
      <c r="H18" s="28" t="inlineStr">
        <is>
          <t>100%</t>
        </is>
      </c>
      <c r="I18" s="44" t="inlineStr">
        <is>
          <t>C1b ejercita backendMessage (rama de mensaje de respaldo, inalcanzable vía HTTP)</t>
        </is>
      </c>
    </row>
    <row r="19" ht="30" customHeight="1">
      <c r="A19" s="25" t="inlineStr">
        <is>
          <t>Actualizar</t>
        </is>
      </c>
      <c r="B19" s="27" t="inlineStr">
        <is>
          <t>handleSaveEdit</t>
        </is>
      </c>
      <c r="C19" s="28" t="n">
        <v>3</v>
      </c>
      <c r="D19" s="28" t="n">
        <v>3</v>
      </c>
      <c r="E19" s="28" t="n">
        <v>3</v>
      </c>
      <c r="F19" s="21">
        <f>E19/D19</f>
        <v/>
      </c>
      <c r="G19" s="22">
        <f>IF(F19&gt;=0.8,"OK","Ampliar")</f>
        <v/>
      </c>
      <c r="H19" s="28" t="inlineStr">
        <is>
          <t>100%</t>
        </is>
      </c>
      <c r="I19" s="44" t="inlineStr">
        <is>
          <t>Sin condiciones compuestas</t>
        </is>
      </c>
    </row>
    <row r="20" ht="30" customHeight="1">
      <c r="A20" s="25" t="inlineStr">
        <is>
          <t>Eliminar</t>
        </is>
      </c>
      <c r="B20" s="27" t="inlineStr">
        <is>
          <t>confirmDelete</t>
        </is>
      </c>
      <c r="C20" s="28" t="n">
        <v>3</v>
      </c>
      <c r="D20" s="28" t="n">
        <v>3</v>
      </c>
      <c r="E20" s="28" t="n">
        <v>3</v>
      </c>
      <c r="F20" s="21">
        <f>E20/D20</f>
        <v/>
      </c>
      <c r="G20" s="22">
        <f>IF(F20&gt;=0.8,"OK","Ampliar")</f>
        <v/>
      </c>
      <c r="H20" s="28" t="inlineStr">
        <is>
          <t>100%</t>
        </is>
      </c>
      <c r="I20" s="44" t="inlineStr">
        <is>
          <t>Sin condiciones compuestas</t>
        </is>
      </c>
    </row>
    <row r="21" ht="30" customHeight="1">
      <c r="A21" s="25" t="inlineStr">
        <is>
          <t>Transferir</t>
        </is>
      </c>
      <c r="B21" s="27" t="inlineStr">
        <is>
          <t>handleTransfer</t>
        </is>
      </c>
      <c r="C21" s="28" t="n">
        <v>3</v>
      </c>
      <c r="D21" s="28" t="n">
        <v>3</v>
      </c>
      <c r="E21" s="28" t="n">
        <v>3</v>
      </c>
      <c r="F21" s="21">
        <f>E21/D21</f>
        <v/>
      </c>
      <c r="G21" s="22">
        <f>IF(F21&gt;=0.8,"OK","Ampliar")</f>
        <v/>
      </c>
      <c r="H21" s="24" t="inlineStr">
        <is>
          <t>67% (nodo 1)</t>
        </is>
      </c>
      <c r="I21" s="44" t="inlineStr">
        <is>
          <t>Nodo 1: OR de 3 cláusulas; solo 2/3 probadas (falta fromPocketId vacío) → cobertura de condición 67%</t>
        </is>
      </c>
    </row>
    <row r="23">
      <c r="A23" s="15" t="inlineStr">
        <is>
          <t>Lectura: la cobertura de CAMINOS independientes del frontend es 100% (se probó una base completa por handler). La única brecha estructural está en la cobertura de CONDICIÓN de Transferir: el OR de 3 cláusulas del nodo 1 solo se probó en 2 de 3 (falta el caso fromPocketId vacío aislado). En backend, UpdatePocket tiene V(G)=11 (alto riesgo) y complejidad cognitiva 16 (crítica → refactorizar).</t>
        </is>
      </c>
    </row>
    <row r="24"/>
    <row r="25"/>
  </sheetData>
  <mergeCells count="4">
    <mergeCell ref="A1:I1"/>
    <mergeCell ref="A23:I25"/>
    <mergeCell ref="A2:I2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6" customWidth="1" min="9" max="9"/>
  </cols>
  <sheetData>
    <row r="1" ht="34" customHeight="1">
      <c r="A1" s="1" t="inlineStr">
        <is>
          <t>3 · Métricas de Calidad del Producto — ISO 25010</t>
        </is>
      </c>
    </row>
    <row r="2" ht="26" customHeight="1">
      <c r="A2" s="3" t="inlineStr">
        <is>
          <t>Mantenibilidad · Fiabilidad · Eficiencia de desempeño · Seguridad (diapositivas 24-36)</t>
        </is>
      </c>
    </row>
    <row r="3">
      <c r="A3" s="6" t="inlineStr">
        <is>
          <t>Mantenibilidad</t>
        </is>
      </c>
    </row>
    <row r="4" ht="30" customHeight="1">
      <c r="A4" s="7" t="inlineStr">
        <is>
          <t>Funcionalidad</t>
        </is>
      </c>
      <c r="B4" s="7" t="inlineStr">
        <is>
          <t>Capa</t>
        </is>
      </c>
      <c r="C4" s="7" t="inlineStr">
        <is>
          <t>V(G) McCabe</t>
        </is>
      </c>
      <c r="D4" s="7" t="inlineStr">
        <is>
          <t>Compl. cognitiva</t>
        </is>
      </c>
      <c r="E4" s="7" t="inlineStr">
        <is>
          <t>LoC (SLOC)</t>
        </is>
      </c>
      <c r="F4" s="7" t="inlineStr">
        <is>
          <t>CBO (acoplamiento)</t>
        </is>
      </c>
      <c r="G4" s="7" t="inlineStr">
        <is>
          <t>DIT (herencia)</t>
        </is>
      </c>
      <c r="H4" s="7" t="inlineStr">
        <is>
          <t>Duplicación estimada</t>
        </is>
      </c>
      <c r="I4" s="7" t="inlineStr">
        <is>
          <t>Nivel mantenibilidad</t>
        </is>
      </c>
    </row>
    <row r="5">
      <c r="A5" s="16" t="inlineStr">
        <is>
          <t>Crear</t>
        </is>
      </c>
      <c r="B5" s="17" t="inlineStr">
        <is>
          <t>Backend</t>
        </is>
      </c>
      <c r="C5" s="19" t="n">
        <v>6</v>
      </c>
      <c r="D5" s="19" t="n">
        <v>5</v>
      </c>
      <c r="E5" s="19" t="n">
        <v>52</v>
      </c>
      <c r="F5" s="19" t="n">
        <v>6</v>
      </c>
      <c r="G5" s="19" t="n">
        <v>1</v>
      </c>
      <c r="H5" s="45" t="inlineStr">
        <is>
          <t>~8% (bloque notificación repetido)</t>
        </is>
      </c>
      <c r="I5" s="22">
        <f>IF(OR(C5&gt;10,D5&gt;15),"Baja",IF(OR(C5&gt;7,D5&gt;10),"Media","Alta"))</f>
        <v/>
      </c>
    </row>
    <row r="6">
      <c r="A6" s="16" t="inlineStr">
        <is>
          <t>Consultar</t>
        </is>
      </c>
      <c r="B6" s="17" t="inlineStr">
        <is>
          <t>Backend</t>
        </is>
      </c>
      <c r="C6" s="19" t="n">
        <v>2</v>
      </c>
      <c r="D6" s="19" t="n">
        <v>1</v>
      </c>
      <c r="E6" s="19" t="n">
        <v>19</v>
      </c>
      <c r="F6" s="19" t="n">
        <v>3</v>
      </c>
      <c r="G6" s="19" t="n">
        <v>1</v>
      </c>
      <c r="H6" s="45" t="inlineStr">
        <is>
          <t>~8% (bloque notificación repetido)</t>
        </is>
      </c>
      <c r="I6" s="22">
        <f>IF(OR(C6&gt;10,D6&gt;15),"Baja",IF(OR(C6&gt;7,D6&gt;10),"Media","Alta"))</f>
        <v/>
      </c>
    </row>
    <row r="7">
      <c r="A7" s="16" t="inlineStr">
        <is>
          <t>Actualizar</t>
        </is>
      </c>
      <c r="B7" s="17" t="inlineStr">
        <is>
          <t>Backend</t>
        </is>
      </c>
      <c r="C7" s="19" t="n">
        <v>11</v>
      </c>
      <c r="D7" s="19" t="n">
        <v>16</v>
      </c>
      <c r="E7" s="19" t="n">
        <v>65</v>
      </c>
      <c r="F7" s="19" t="n">
        <v>6</v>
      </c>
      <c r="G7" s="19" t="n">
        <v>1</v>
      </c>
      <c r="H7" s="45" t="inlineStr">
        <is>
          <t>~8% (bloque notificación repetido)</t>
        </is>
      </c>
      <c r="I7" s="43">
        <f>IF(OR(C7&gt;10,D7&gt;15),"Baja",IF(OR(C7&gt;7,D7&gt;10),"Media","Alta"))</f>
        <v/>
      </c>
    </row>
    <row r="8">
      <c r="A8" s="16" t="inlineStr">
        <is>
          <t>Eliminar</t>
        </is>
      </c>
      <c r="B8" s="17" t="inlineStr">
        <is>
          <t>Backend</t>
        </is>
      </c>
      <c r="C8" s="19" t="n">
        <v>5</v>
      </c>
      <c r="D8" s="19" t="n">
        <v>4</v>
      </c>
      <c r="E8" s="19" t="n">
        <v>62</v>
      </c>
      <c r="F8" s="19" t="n">
        <v>6</v>
      </c>
      <c r="G8" s="19" t="n">
        <v>1</v>
      </c>
      <c r="H8" s="45" t="inlineStr">
        <is>
          <t>~8% (bloque notificación repetido)</t>
        </is>
      </c>
      <c r="I8" s="22">
        <f>IF(OR(C8&gt;10,D8&gt;15),"Baja",IF(OR(C8&gt;7,D8&gt;10),"Media","Alta"))</f>
        <v/>
      </c>
    </row>
    <row r="9">
      <c r="A9" s="16" t="inlineStr">
        <is>
          <t>Transferir</t>
        </is>
      </c>
      <c r="B9" s="17" t="inlineStr">
        <is>
          <t>Backend</t>
        </is>
      </c>
      <c r="C9" s="19" t="n">
        <v>10</v>
      </c>
      <c r="D9" s="19" t="n">
        <v>9</v>
      </c>
      <c r="E9" s="19" t="n">
        <v>63</v>
      </c>
      <c r="F9" s="19" t="n">
        <v>6</v>
      </c>
      <c r="G9" s="19" t="n">
        <v>1</v>
      </c>
      <c r="H9" s="45" t="inlineStr">
        <is>
          <t>~8% (bloque notificación repetido)</t>
        </is>
      </c>
      <c r="I9" s="22">
        <f>IF(OR(C9&gt;10,D9&gt;15),"Baja",IF(OR(C9&gt;7,D9&gt;10),"Media","Alta"))</f>
        <v/>
      </c>
    </row>
    <row r="10">
      <c r="A10" s="25" t="inlineStr">
        <is>
          <t>Crear</t>
        </is>
      </c>
      <c r="B10" s="26" t="inlineStr">
        <is>
          <t>Frontend</t>
        </is>
      </c>
      <c r="C10" s="28" t="n">
        <v>3</v>
      </c>
      <c r="D10" s="28" t="n">
        <v>3</v>
      </c>
      <c r="E10" s="28" t="n">
        <v>23</v>
      </c>
      <c r="F10" s="46" t="inlineStr">
        <is>
          <t>n/a (funciones)</t>
        </is>
      </c>
      <c r="G10" s="28" t="n">
        <v>0</v>
      </c>
      <c r="H10" s="47" t="inlineStr">
        <is>
          <t>~14% (try/catch+finally repetido)</t>
        </is>
      </c>
      <c r="I10" s="22" t="inlineStr">
        <is>
          <t>Alta</t>
        </is>
      </c>
    </row>
    <row r="11">
      <c r="A11" s="25" t="inlineStr">
        <is>
          <t>Consultar</t>
        </is>
      </c>
      <c r="B11" s="26" t="inlineStr">
        <is>
          <t>Frontend</t>
        </is>
      </c>
      <c r="C11" s="28" t="n">
        <v>2</v>
      </c>
      <c r="D11" s="28" t="n">
        <v>1</v>
      </c>
      <c r="E11" s="28" t="n">
        <v>12</v>
      </c>
      <c r="F11" s="46" t="inlineStr">
        <is>
          <t>n/a (funciones)</t>
        </is>
      </c>
      <c r="G11" s="28" t="n">
        <v>0</v>
      </c>
      <c r="H11" s="47" t="inlineStr">
        <is>
          <t>~14% (try/catch+finally repetido)</t>
        </is>
      </c>
      <c r="I11" s="22" t="inlineStr">
        <is>
          <t>Alta</t>
        </is>
      </c>
    </row>
    <row r="12">
      <c r="A12" s="25" t="inlineStr">
        <is>
          <t>Actualizar</t>
        </is>
      </c>
      <c r="B12" s="26" t="inlineStr">
        <is>
          <t>Frontend</t>
        </is>
      </c>
      <c r="C12" s="28" t="n">
        <v>3</v>
      </c>
      <c r="D12" s="28" t="n">
        <v>2</v>
      </c>
      <c r="E12" s="28" t="n">
        <v>21</v>
      </c>
      <c r="F12" s="46" t="inlineStr">
        <is>
          <t>n/a (funciones)</t>
        </is>
      </c>
      <c r="G12" s="28" t="n">
        <v>0</v>
      </c>
      <c r="H12" s="47" t="inlineStr">
        <is>
          <t>~14% (try/catch+finally repetido)</t>
        </is>
      </c>
      <c r="I12" s="22" t="inlineStr">
        <is>
          <t>Alta</t>
        </is>
      </c>
    </row>
    <row r="13">
      <c r="A13" s="25" t="inlineStr">
        <is>
          <t>Eliminar</t>
        </is>
      </c>
      <c r="B13" s="26" t="inlineStr">
        <is>
          <t>Frontend</t>
        </is>
      </c>
      <c r="C13" s="28" t="n">
        <v>3</v>
      </c>
      <c r="D13" s="28" t="n">
        <v>2</v>
      </c>
      <c r="E13" s="28" t="n">
        <v>18</v>
      </c>
      <c r="F13" s="46" t="inlineStr">
        <is>
          <t>n/a (funciones)</t>
        </is>
      </c>
      <c r="G13" s="28" t="n">
        <v>0</v>
      </c>
      <c r="H13" s="47" t="inlineStr">
        <is>
          <t>~14% (try/catch+finally repetido)</t>
        </is>
      </c>
      <c r="I13" s="22" t="inlineStr">
        <is>
          <t>Alta</t>
        </is>
      </c>
    </row>
    <row r="14">
      <c r="A14" s="25" t="inlineStr">
        <is>
          <t>Transferir</t>
        </is>
      </c>
      <c r="B14" s="26" t="inlineStr">
        <is>
          <t>Frontend</t>
        </is>
      </c>
      <c r="C14" s="28" t="n">
        <v>3</v>
      </c>
      <c r="D14" s="28" t="n">
        <v>3</v>
      </c>
      <c r="E14" s="28" t="n">
        <v>21</v>
      </c>
      <c r="F14" s="46" t="inlineStr">
        <is>
          <t>n/a (funciones)</t>
        </is>
      </c>
      <c r="G14" s="28" t="n">
        <v>0</v>
      </c>
      <c r="H14" s="47" t="inlineStr">
        <is>
          <t>~14% (try/catch+finally repetido)</t>
        </is>
      </c>
      <c r="I14" s="22" t="inlineStr">
        <is>
          <t>Alta</t>
        </is>
      </c>
    </row>
    <row r="16">
      <c r="A16" s="6" t="inlineStr">
        <is>
          <t>Fiabilidad</t>
        </is>
      </c>
    </row>
    <row r="17" ht="30" customHeight="1">
      <c r="A17" s="7" t="inlineStr">
        <is>
          <t>Alcance</t>
        </is>
      </c>
      <c r="B17" s="7" t="inlineStr">
        <is>
          <t>Métrica</t>
        </is>
      </c>
      <c r="C17" s="7" t="inlineStr">
        <is>
          <t>Fórmula</t>
        </is>
      </c>
      <c r="D17" s="7" t="inlineStr">
        <is>
          <t>Defectos</t>
        </is>
      </c>
      <c r="E17" s="7" t="inlineStr">
        <is>
          <t>SLOC</t>
        </is>
      </c>
      <c r="F17" s="7" t="inlineStr">
        <is>
          <t>KLoC</t>
        </is>
      </c>
      <c r="G17" s="7" t="inlineStr">
        <is>
          <t>Resultado</t>
        </is>
      </c>
      <c r="H17" s="7" t="inlineStr">
        <is>
          <t>Umbral (diap.68)</t>
        </is>
      </c>
      <c r="I17" s="7" t="inlineStr">
        <is>
          <t>Estado</t>
        </is>
      </c>
    </row>
    <row r="18">
      <c r="A18" s="16" t="inlineStr">
        <is>
          <t>Backend</t>
        </is>
      </c>
      <c r="B18" s="17" t="inlineStr">
        <is>
          <t>Densidad de fallos</t>
        </is>
      </c>
      <c r="C18" s="18" t="inlineStr">
        <is>
          <t>Defectos / KLoC</t>
        </is>
      </c>
      <c r="D18" s="19" t="n">
        <v>5</v>
      </c>
      <c r="E18" s="19" t="n">
        <v>373</v>
      </c>
      <c r="F18" s="48">
        <f>E18/1000</f>
        <v/>
      </c>
      <c r="G18" s="41">
        <f>D18/F18</f>
        <v/>
      </c>
      <c r="H18" s="49" t="inlineStr">
        <is>
          <t>&gt; 5 /KLoC → calidad baja</t>
        </is>
      </c>
      <c r="I18" s="43">
        <f>IF(G18&gt;5,"Alerta","OK")</f>
        <v/>
      </c>
    </row>
    <row r="19">
      <c r="A19" s="25" t="inlineStr">
        <is>
          <t>Frontend</t>
        </is>
      </c>
      <c r="B19" s="26" t="inlineStr">
        <is>
          <t>Densidad de fallos</t>
        </is>
      </c>
      <c r="C19" s="27" t="inlineStr">
        <is>
          <t>Defectos / KLoC</t>
        </is>
      </c>
      <c r="D19" s="28" t="n">
        <v>0</v>
      </c>
      <c r="E19" s="28" t="n">
        <v>171</v>
      </c>
      <c r="F19" s="50">
        <f>E19/1000</f>
        <v/>
      </c>
      <c r="G19" s="51">
        <f>D19/F19</f>
        <v/>
      </c>
      <c r="H19" s="52" t="inlineStr">
        <is>
          <t>&gt; 5 /KLoC → calidad baja</t>
        </is>
      </c>
      <c r="I19" s="22">
        <f>IF(G19&gt;5,"Alerta","OK")</f>
        <v/>
      </c>
    </row>
    <row r="20">
      <c r="A20" s="30" t="inlineStr">
        <is>
          <t>Combinado</t>
        </is>
      </c>
      <c r="B20" s="53" t="inlineStr">
        <is>
          <t>Densidad de fallos</t>
        </is>
      </c>
      <c r="C20" s="54" t="inlineStr">
        <is>
          <t>Defectos / KLoC</t>
        </is>
      </c>
      <c r="D20" s="55" t="n">
        <v>5</v>
      </c>
      <c r="E20" s="55" t="n">
        <v>544</v>
      </c>
      <c r="F20" s="56">
        <f>E20/1000</f>
        <v/>
      </c>
      <c r="G20" s="41">
        <f>D20/F20</f>
        <v/>
      </c>
      <c r="H20" s="57" t="inlineStr">
        <is>
          <t>&gt; 5 /KLoC → calidad baja</t>
        </is>
      </c>
      <c r="I20" s="43">
        <f>IF(G20&gt;5,"Alerta","OK")</f>
        <v/>
      </c>
    </row>
    <row r="21">
      <c r="A21" s="16" t="inlineStr">
        <is>
          <t>Backend</t>
        </is>
      </c>
      <c r="B21" s="17" t="inlineStr">
        <is>
          <t>Cobertura de pruebas (decisión)</t>
        </is>
      </c>
      <c r="C21" s="18" t="inlineStr">
        <is>
          <t>Ramas cubiertas / totales</t>
        </is>
      </c>
      <c r="D21" s="19">
        <f>SUM('Métricas de Pruebas'!F4:F8)</f>
        <v/>
      </c>
      <c r="E21" s="19">
        <f>SUM('Métricas de Pruebas'!G4:G8)</f>
        <v/>
      </c>
      <c r="F21" s="19" t="inlineStr">
        <is>
          <t>—</t>
        </is>
      </c>
      <c r="G21" s="21">
        <f>D21/E21</f>
        <v/>
      </c>
      <c r="H21" s="49" t="inlineStr">
        <is>
          <t>&lt; 80% → ampliar pruebas</t>
        </is>
      </c>
      <c r="I21" s="22">
        <f>IF(G21&gt;=0.8,"OK","Ampliar")</f>
        <v/>
      </c>
    </row>
    <row r="23">
      <c r="A23" s="6" t="inlineStr">
        <is>
          <t>Eficiencia de desempeño</t>
        </is>
      </c>
    </row>
    <row r="24" ht="30" customHeight="1">
      <c r="A24" s="7" t="inlineStr">
        <is>
          <t>Métrica</t>
        </is>
      </c>
      <c r="B24" s="7" t="inlineStr">
        <is>
          <t>Fórmula (Clase 09)</t>
        </is>
      </c>
      <c r="C24" s="7" t="inlineStr">
        <is>
          <t>T. inicio (ms)</t>
        </is>
      </c>
      <c r="D24" s="7" t="inlineStr">
        <is>
          <t>T. fin (ms)</t>
        </is>
      </c>
      <c r="E24" s="7" t="inlineStr">
        <is>
          <t>Resultado</t>
        </is>
      </c>
      <c r="F24" s="7" t="inlineStr">
        <is>
          <t>Fuente del dato</t>
        </is>
      </c>
      <c r="G24" s="7" t="inlineStr">
        <is>
          <t>Umbral</t>
        </is>
      </c>
      <c r="H24" s="7" t="inlineStr">
        <is>
          <t>Estado</t>
        </is>
      </c>
      <c r="I24" s="7" t="inlineStr">
        <is>
          <t>Nota</t>
        </is>
      </c>
    </row>
    <row r="25">
      <c r="A25" s="36" t="inlineStr">
        <is>
          <t>Tiempo de respuesta (backend)</t>
        </is>
      </c>
      <c r="B25" s="37" t="inlineStr">
        <is>
          <t>T_fin − T_inicio</t>
        </is>
      </c>
      <c r="C25" s="58" t="n">
        <v>0</v>
      </c>
      <c r="D25" s="58" t="n">
        <v>0</v>
      </c>
      <c r="E25" s="42">
        <f>D25-C25</f>
        <v/>
      </c>
      <c r="F25" s="59" t="inlineStr">
        <is>
          <t>duracionMs por caso (support/runner.ts)</t>
        </is>
      </c>
      <c r="G25" s="12" t="inlineStr">
        <is>
          <t>—</t>
        </is>
      </c>
      <c r="H25" s="24" t="inlineStr">
        <is>
          <t>Pendiente</t>
        </is>
      </c>
      <c r="I25" s="60" t="inlineStr">
        <is>
          <t>Rellenar con la corrida real de npm run test:unit</t>
        </is>
      </c>
    </row>
    <row r="26">
      <c r="A26" s="36" t="inlineStr">
        <is>
          <t>Uso de CPU (si aplica)</t>
        </is>
      </c>
      <c r="B26" s="37" t="inlineStr">
        <is>
          <t>(T_CPU / T_total) × 100</t>
        </is>
      </c>
      <c r="C26" s="61" t="inlineStr"/>
      <c r="D26" s="61" t="inlineStr"/>
      <c r="E26" s="12" t="inlineStr">
        <is>
          <t>—</t>
        </is>
      </c>
      <c r="F26" s="59" t="inlineStr">
        <is>
          <t>process.cpuUsage() en la corrida</t>
        </is>
      </c>
      <c r="G26" s="12" t="inlineStr">
        <is>
          <t>—</t>
        </is>
      </c>
      <c r="H26" s="12" t="inlineStr">
        <is>
          <t>Opcional</t>
        </is>
      </c>
      <c r="I26" s="59" t="inlineStr">
        <is>
          <t>Métrica marcada 'si aplica' en diap. 67</t>
        </is>
      </c>
    </row>
    <row r="27">
      <c r="A27" s="36" t="inlineStr">
        <is>
          <t>Uso de Memoria (si aplica)</t>
        </is>
      </c>
      <c r="B27" s="37" t="inlineStr">
        <is>
          <t>(Mem_proc / Mem_total) × 100</t>
        </is>
      </c>
      <c r="C27" s="61" t="inlineStr"/>
      <c r="D27" s="61" t="inlineStr"/>
      <c r="E27" s="12" t="inlineStr">
        <is>
          <t>—</t>
        </is>
      </c>
      <c r="F27" s="59" t="inlineStr">
        <is>
          <t>process.memoryUsage() en la corrida</t>
        </is>
      </c>
      <c r="G27" s="12" t="inlineStr">
        <is>
          <t>—</t>
        </is>
      </c>
      <c r="H27" s="12" t="inlineStr">
        <is>
          <t>Opcional</t>
        </is>
      </c>
      <c r="I27" s="59" t="inlineStr">
        <is>
          <t>Métrica marcada 'si aplica' en diap. 67</t>
        </is>
      </c>
    </row>
    <row r="29">
      <c r="A29" s="6" t="inlineStr">
        <is>
          <t>Seguridad</t>
        </is>
      </c>
    </row>
    <row r="30" ht="30" customHeight="1">
      <c r="A30" s="7" t="inlineStr">
        <is>
          <t>Métrica</t>
        </is>
      </c>
      <c r="B30" s="7" t="inlineStr">
        <is>
          <t>Fórmula</t>
        </is>
      </c>
      <c r="C30" s="7" t="inlineStr">
        <is>
          <t>Vulnerabilidades</t>
        </is>
      </c>
      <c r="D30" s="7" t="inlineStr">
        <is>
          <t>SLOC</t>
        </is>
      </c>
      <c r="E30" s="7" t="inlineStr">
        <is>
          <t>Resultado</t>
        </is>
      </c>
      <c r="F30" s="7" t="inlineStr">
        <is>
          <t>CVSS</t>
        </is>
      </c>
      <c r="G30" s="7" t="inlineStr">
        <is>
          <t>Umbral</t>
        </is>
      </c>
      <c r="H30" s="7" t="inlineStr">
        <is>
          <t>Estado</t>
        </is>
      </c>
      <c r="I30" s="7" t="inlineStr">
        <is>
          <t>Nota</t>
        </is>
      </c>
    </row>
    <row r="31">
      <c r="A31" s="36" t="inlineStr">
        <is>
          <t>Índice de vulnerabilidad</t>
        </is>
      </c>
      <c r="B31" s="37" t="inlineStr">
        <is>
          <t>Nº vuln. / KLoC</t>
        </is>
      </c>
      <c r="C31" s="58" t="n">
        <v>0</v>
      </c>
      <c r="D31" s="12" t="n">
        <v>544</v>
      </c>
      <c r="E31" s="51">
        <f>C31/(D31/1000)</f>
        <v/>
      </c>
      <c r="F31" s="12" t="inlineStr">
        <is>
          <t>n/a</t>
        </is>
      </c>
      <c r="G31" s="12" t="inlineStr">
        <is>
          <t>0 deseable</t>
        </is>
      </c>
      <c r="H31" s="22" t="inlineStr">
        <is>
          <t>OK</t>
        </is>
      </c>
      <c r="I31" s="60" t="inlineStr">
        <is>
          <t>Sin vulnerabilidades detectadas por análisis estático en el módulo</t>
        </is>
      </c>
    </row>
  </sheetData>
  <mergeCells count="6">
    <mergeCell ref="A29:I29"/>
    <mergeCell ref="A2:I2"/>
    <mergeCell ref="A1:I1"/>
    <mergeCell ref="A23:I23"/>
    <mergeCell ref="A3:I3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20" customWidth="1" min="4" max="4"/>
    <col width="60" customWidth="1" min="5" max="5"/>
    <col width="4" customWidth="1" min="6" max="6"/>
    <col width="4" customWidth="1" min="7" max="7"/>
    <col width="4" customWidth="1" min="8" max="8"/>
  </cols>
  <sheetData>
    <row r="1" ht="34" customHeight="1">
      <c r="A1" s="1" t="inlineStr">
        <is>
          <t>Matriz de Trazabilidad vinculada a Cobertura</t>
        </is>
      </c>
    </row>
    <row r="2" ht="26" customHeight="1">
      <c r="A2" s="3" t="inlineStr">
        <is>
          <t>Funcionalidad → reglas de negocio → casos backend → caminos frontend → defectos → cobertura (diap. 67)</t>
        </is>
      </c>
    </row>
    <row r="3" ht="30" customHeight="1">
      <c r="A3" s="7" t="inlineStr">
        <is>
          <t>Funcionalidad</t>
        </is>
      </c>
      <c r="B3" s="7" t="inlineStr">
        <is>
          <t>Regla / requisito principal</t>
        </is>
      </c>
      <c r="C3" s="7" t="inlineStr">
        <is>
          <t>Casos backend (IDs)</t>
        </is>
      </c>
      <c r="D3" s="7" t="inlineStr">
        <is>
          <t>Caminos frontend (IDs)</t>
        </is>
      </c>
      <c r="E3" s="7" t="inlineStr">
        <is>
          <t>Defectos</t>
        </is>
      </c>
      <c r="F3" s="7" t="inlineStr">
        <is>
          <t>V(G) BE / FE</t>
        </is>
      </c>
      <c r="G3" s="7" t="inlineStr">
        <is>
          <t>Cobertura estruct. BE / caminos FE</t>
        </is>
      </c>
      <c r="H3" s="7" t="inlineStr">
        <is>
          <t>Estado</t>
        </is>
      </c>
    </row>
    <row r="4" ht="44" customHeight="1">
      <c r="A4" s="16" t="inlineStr">
        <is>
          <t>Crear</t>
        </is>
      </c>
      <c r="B4" s="62" t="inlineStr">
        <is>
          <t>Monto ≥ 0, cuenta existente y operativa, dueño correcto, saldo disponible suficiente</t>
        </is>
      </c>
      <c r="C4" s="63" t="inlineStr">
        <is>
          <t>CU-CR-01…09; VU-01…09; PU-01…07</t>
        </is>
      </c>
      <c r="D4" s="63" t="inlineStr">
        <is>
          <t>FE-CR-C1, C1b, C2, C3</t>
        </is>
      </c>
      <c r="E4" s="20" t="inlineStr">
        <is>
          <t>D-01,D-02,D-03,D-05</t>
        </is>
      </c>
      <c r="F4" s="19" t="inlineStr">
        <is>
          <t>6 / 3</t>
        </is>
      </c>
      <c r="G4" s="23" t="inlineStr">
        <is>
          <t>90% / 100%</t>
        </is>
      </c>
      <c r="H4" s="22" t="inlineStr">
        <is>
          <t>Cubierto</t>
        </is>
      </c>
    </row>
    <row r="5" ht="44" customHeight="1">
      <c r="A5" s="25" t="inlineStr">
        <is>
          <t>Consultar</t>
        </is>
      </c>
      <c r="B5" s="64" t="inlineStr">
        <is>
          <t>Cuenta existente y del dueño; lista pública de bolsillos (o vacía)</t>
        </is>
      </c>
      <c r="C5" s="65" t="inlineStr">
        <is>
          <t>CU-CO-01…05</t>
        </is>
      </c>
      <c r="D5" s="65" t="inlineStr">
        <is>
          <t>FE-CO-C1, C1b, C2</t>
        </is>
      </c>
      <c r="E5" s="28" t="inlineStr">
        <is>
          <t>—</t>
        </is>
      </c>
      <c r="F5" s="28" t="inlineStr">
        <is>
          <t>2 / 2</t>
        </is>
      </c>
      <c r="G5" s="29" t="inlineStr">
        <is>
          <t>100% / 100%</t>
        </is>
      </c>
      <c r="H5" s="22" t="inlineStr">
        <is>
          <t>Cubierto</t>
        </is>
      </c>
    </row>
    <row r="6" ht="44" customHeight="1">
      <c r="A6" s="16" t="inlineStr">
        <is>
          <t>Actualizar</t>
        </is>
      </c>
      <c r="B6" s="62" t="inlineStr">
        <is>
          <t>Nombre no vacío, monto ≥ 0, al menos un cambio, saldo suficiente, dueño y cuenta operativa</t>
        </is>
      </c>
      <c r="C6" s="63" t="inlineStr">
        <is>
          <t>CU-AC-01…10; VU-10…12; PU-08…13</t>
        </is>
      </c>
      <c r="D6" s="63" t="inlineStr">
        <is>
          <t>FE-AC-C1, C2, C3</t>
        </is>
      </c>
      <c r="E6" s="20" t="inlineStr">
        <is>
          <t>D-04</t>
        </is>
      </c>
      <c r="F6" s="19" t="inlineStr">
        <is>
          <t>11 / 3</t>
        </is>
      </c>
      <c r="G6" s="23" t="inlineStr">
        <is>
          <t>85% / 100%</t>
        </is>
      </c>
      <c r="H6" s="22" t="inlineStr">
        <is>
          <t>Cubierto</t>
        </is>
      </c>
    </row>
    <row r="7" ht="44" customHeight="1">
      <c r="A7" s="25" t="inlineStr">
        <is>
          <t>Eliminar</t>
        </is>
      </c>
      <c r="B7" s="64" t="inlineStr">
        <is>
          <t>Bolsillo existente, dueño correcto, cuenta operativa; devuelve saldo a la cuenta</t>
        </is>
      </c>
      <c r="C7" s="65" t="inlineStr">
        <is>
          <t>CU-EL-01…04</t>
        </is>
      </c>
      <c r="D7" s="65" t="inlineStr">
        <is>
          <t>FE-EL-C1, C2, C3</t>
        </is>
      </c>
      <c r="E7" s="28" t="inlineStr">
        <is>
          <t>—</t>
        </is>
      </c>
      <c r="F7" s="28" t="inlineStr">
        <is>
          <t>5 / 3</t>
        </is>
      </c>
      <c r="G7" s="29" t="inlineStr">
        <is>
          <t>63% / 100%</t>
        </is>
      </c>
      <c r="H7" s="22" t="inlineStr">
        <is>
          <t>Cubierto</t>
        </is>
      </c>
    </row>
    <row r="8" ht="44" customHeight="1">
      <c r="A8" s="16" t="inlineStr">
        <is>
          <t>Transferir</t>
        </is>
      </c>
      <c r="B8" s="62" t="inlineStr">
        <is>
          <t>Monto &gt; 0, bolsillos distintos y de la misma cuenta, dueño, saldo de origen suficiente</t>
        </is>
      </c>
      <c r="C8" s="63" t="inlineStr">
        <is>
          <t>CU-TR-01…09; VU-13…15</t>
        </is>
      </c>
      <c r="D8" s="63" t="inlineStr">
        <is>
          <t>FE-TR-C1, C1b, C2, C3</t>
        </is>
      </c>
      <c r="E8" s="19" t="inlineStr">
        <is>
          <t>—</t>
        </is>
      </c>
      <c r="F8" s="19" t="inlineStr">
        <is>
          <t>10 / 3</t>
        </is>
      </c>
      <c r="G8" s="23" t="inlineStr">
        <is>
          <t>83% / 100%</t>
        </is>
      </c>
      <c r="H8" s="22" t="inlineStr">
        <is>
          <t>Cubierto</t>
        </is>
      </c>
    </row>
    <row r="10">
      <c r="A10" s="6" t="inlineStr">
        <is>
          <t>Defectos detectados (E = 5)</t>
        </is>
      </c>
    </row>
    <row r="11" ht="30" customHeight="1">
      <c r="A11" s="7" t="inlineStr">
        <is>
          <t>ID</t>
        </is>
      </c>
      <c r="B11" s="7" t="inlineStr">
        <is>
          <t>Caso que lo revela</t>
        </is>
      </c>
      <c r="C11" s="7" t="inlineStr">
        <is>
          <t>Funcionalidad</t>
        </is>
      </c>
      <c r="D11" s="7" t="inlineStr">
        <is>
          <t>Ubicación</t>
        </is>
      </c>
      <c r="E11" s="7" t="inlineStr">
        <is>
          <t>Descripción</t>
        </is>
      </c>
      <c r="F11" s="34" t="n"/>
      <c r="G11" s="34" t="n"/>
      <c r="H11" s="35" t="n"/>
    </row>
    <row r="12" ht="30" customHeight="1">
      <c r="A12" s="66" t="inlineStr">
        <is>
          <t>D-01</t>
        </is>
      </c>
      <c r="B12" s="67" t="inlineStr">
        <is>
          <t>PU-06</t>
        </is>
      </c>
      <c r="C12" s="38" t="inlineStr">
        <is>
          <t>Crear</t>
        </is>
      </c>
      <c r="D12" s="38" t="inlineStr">
        <is>
          <t>Backend · Entidad</t>
        </is>
      </c>
      <c r="E12" s="68" t="inlineStr">
        <is>
          <t>El constructor de Pocket no valida el nombre vacío, aunque updateName('') sí lo rechaza</t>
        </is>
      </c>
      <c r="F12" s="39" t="n"/>
      <c r="G12" s="39" t="n"/>
      <c r="H12" s="39" t="n"/>
    </row>
    <row r="13" ht="30" customHeight="1">
      <c r="A13" s="66" t="inlineStr">
        <is>
          <t>D-02</t>
        </is>
      </c>
      <c r="B13" s="67" t="inlineStr">
        <is>
          <t>VU-03</t>
        </is>
      </c>
      <c r="C13" s="38" t="inlineStr">
        <is>
          <t>Crear</t>
        </is>
      </c>
      <c r="D13" s="38" t="inlineStr">
        <is>
          <t>Backend · Validador</t>
        </is>
      </c>
      <c r="E13" s="68" t="inlineStr">
        <is>
          <t>createPocketSchema acepta un booleano como monto (z.coerce.number() coacciona true→1)</t>
        </is>
      </c>
      <c r="F13" s="39" t="n"/>
      <c r="G13" s="39" t="n"/>
      <c r="H13" s="39" t="n"/>
    </row>
    <row r="14" ht="30" customHeight="1">
      <c r="A14" s="66" t="inlineStr">
        <is>
          <t>D-03</t>
        </is>
      </c>
      <c r="B14" s="67" t="inlineStr">
        <is>
          <t>VU-07</t>
        </is>
      </c>
      <c r="C14" s="38" t="inlineStr">
        <is>
          <t>Crear</t>
        </is>
      </c>
      <c r="D14" s="38" t="inlineStr">
        <is>
          <t>Backend · Validador</t>
        </is>
      </c>
      <c r="E14" s="68" t="inlineStr">
        <is>
          <t>createPocketSchema acepta un nombre de solo espacios ('   ' pasa min(1))</t>
        </is>
      </c>
      <c r="F14" s="39" t="n"/>
      <c r="G14" s="39" t="n"/>
      <c r="H14" s="39" t="n"/>
    </row>
    <row r="15" ht="30" customHeight="1">
      <c r="A15" s="66" t="inlineStr">
        <is>
          <t>D-04</t>
        </is>
      </c>
      <c r="B15" s="67" t="inlineStr">
        <is>
          <t>VU-11</t>
        </is>
      </c>
      <c r="C15" s="38" t="inlineStr">
        <is>
          <t>Actualizar</t>
        </is>
      </c>
      <c r="D15" s="38" t="inlineStr">
        <is>
          <t>Backend · Validador</t>
        </is>
      </c>
      <c r="E15" s="68" t="inlineStr">
        <is>
          <t>updatePocketSchema usa z.number() (no coerce): rechaza '500' string; inconsistente con crear</t>
        </is>
      </c>
      <c r="F15" s="39" t="n"/>
      <c r="G15" s="39" t="n"/>
      <c r="H15" s="39" t="n"/>
    </row>
    <row r="16" ht="30" customHeight="1">
      <c r="A16" s="66" t="inlineStr">
        <is>
          <t>D-05</t>
        </is>
      </c>
      <c r="B16" s="67" t="inlineStr">
        <is>
          <t>CU-CR-09</t>
        </is>
      </c>
      <c r="C16" s="38" t="inlineStr">
        <is>
          <t>Crear</t>
        </is>
      </c>
      <c r="D16" s="38" t="inlineStr">
        <is>
          <t>Backend · Caso de uso</t>
        </is>
      </c>
      <c r="E16" s="68" t="inlineStr">
        <is>
          <t>Al validar saldo disponible se suma de nuevo lo ya reservado (doble conteo) y rechaza creaciones válidas</t>
        </is>
      </c>
      <c r="F16" s="39" t="n"/>
      <c r="G16" s="39" t="n"/>
      <c r="H16" s="39" t="n"/>
    </row>
  </sheetData>
  <mergeCells count="9">
    <mergeCell ref="E14:H14"/>
    <mergeCell ref="E12:H12"/>
    <mergeCell ref="A2:H2"/>
    <mergeCell ref="A10:H10"/>
    <mergeCell ref="E16:H16"/>
    <mergeCell ref="E15:H15"/>
    <mergeCell ref="A1:H1"/>
    <mergeCell ref="E11:H11"/>
    <mergeCell ref="E13:H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50" customWidth="1" min="4" max="4"/>
  </cols>
  <sheetData>
    <row r="1" ht="34" customHeight="1">
      <c r="A1" s="1" t="inlineStr">
        <is>
          <t>Fórmulas (Clase 09) y fuentes de cada dato</t>
        </is>
      </c>
    </row>
    <row r="2" ht="26" customHeight="1">
      <c r="A2" s="3" t="inlineStr">
        <is>
          <t>Cada métrica es auditable: fórmula del PowerPoint + archivo del repositorio de donde sale la entrada</t>
        </is>
      </c>
    </row>
    <row r="3" ht="30" customHeight="1">
      <c r="A3" s="7" t="inlineStr">
        <is>
          <t>Métrica</t>
        </is>
      </c>
      <c r="B3" s="7" t="inlineStr">
        <is>
          <t>Fórmula (diapositiva)</t>
        </is>
      </c>
      <c r="C3" s="7" t="inlineStr">
        <is>
          <t>Categoría</t>
        </is>
      </c>
      <c r="D3" s="7" t="inlineStr">
        <is>
          <t>Fuente del dato en el repositorio</t>
        </is>
      </c>
    </row>
    <row r="4" ht="30" customHeight="1">
      <c r="A4" s="69" t="inlineStr">
        <is>
          <t>Complejidad ciclomática</t>
        </is>
      </c>
      <c r="B4" s="70" t="inlineStr">
        <is>
          <t>V(G) = E − N + 2P  ·  V(G) = D + 1 (P=1) — diap. 20</t>
        </is>
      </c>
      <c r="C4" s="71" t="inlineStr">
        <is>
          <t>Estructural</t>
        </is>
      </c>
      <c r="D4" s="72" t="inlineStr">
        <is>
          <t>Decisiones (if/catch) contadas en cada use-case y handler</t>
        </is>
      </c>
    </row>
    <row r="5" ht="30" customHeight="1">
      <c r="A5" s="36" t="inlineStr">
        <is>
          <t>Complejidad cognitiva</t>
        </is>
      </c>
      <c r="B5" s="73" t="inlineStr">
        <is>
          <t>Suma de incrementos por decisión, anidamiento y operadores lógicos — diap. 21-23</t>
        </is>
      </c>
      <c r="C5" s="38" t="inlineStr">
        <is>
          <t>Estructural</t>
        </is>
      </c>
      <c r="D5" s="68" t="inlineStr">
        <is>
          <t>Análisis de anidamiento en UpdatePocket (16=crítica) y demás unidades</t>
        </is>
      </c>
    </row>
    <row r="6" ht="30" customHeight="1">
      <c r="A6" s="69" t="inlineStr">
        <is>
          <t>Cobertura de caminos</t>
        </is>
      </c>
      <c r="B6" s="70" t="inlineStr">
        <is>
          <t>Elementos ejecutados / Elementos totales × 100 — diap. 11-12</t>
        </is>
      </c>
      <c r="C6" s="71" t="inlineStr">
        <is>
          <t>Pruebas</t>
        </is>
      </c>
      <c r="D6" s="72" t="inlineStr">
        <is>
          <t>Caminos base vs cubiertos por *.paths.ts (Frontend.drawio)</t>
        </is>
      </c>
    </row>
    <row r="7" ht="30" customHeight="1">
      <c r="A7" s="36" t="inlineStr">
        <is>
          <t>Cobertura de requisitos</t>
        </is>
      </c>
      <c r="B7" s="73" t="inlineStr">
        <is>
          <t>Req. cubiertos / Total req. — diap. 17</t>
        </is>
      </c>
      <c r="C7" s="38" t="inlineStr">
        <is>
          <t>Pruebas</t>
        </is>
      </c>
      <c r="D7" s="68" t="inlineStr">
        <is>
          <t>5 funcionalidades con pruebas BE+FE</t>
        </is>
      </c>
    </row>
    <row r="8" ht="30" customHeight="1">
      <c r="A8" s="69" t="inlineStr">
        <is>
          <t>Cobertura estructural (decisión)</t>
        </is>
      </c>
      <c r="B8" s="70" t="inlineStr">
        <is>
          <t>Ramas ejecutadas / Ramas totales — diap. 11</t>
        </is>
      </c>
      <c r="C8" s="71" t="inlineStr">
        <is>
          <t>Pruebas</t>
        </is>
      </c>
      <c r="D8" s="72" t="inlineStr">
        <is>
          <t>Ramas T/F ejercidas por CU-*/VU-*/PU-* en pocket.use-cases.ts</t>
        </is>
      </c>
    </row>
    <row r="9" ht="30" customHeight="1">
      <c r="A9" s="36" t="inlineStr">
        <is>
          <t>Eficacia elim. defectos (EED)</t>
        </is>
      </c>
      <c r="B9" s="73" t="inlineStr">
        <is>
          <t>EED = E / (E + D) — diap. 13</t>
        </is>
      </c>
      <c r="C9" s="38" t="inlineStr">
        <is>
          <t>Pruebas</t>
        </is>
      </c>
      <c r="D9" s="68" t="inlineStr">
        <is>
          <t>E=5 (campo 'defecto' en las pruebas); D=0 (sin producción)</t>
        </is>
      </c>
    </row>
    <row r="10" ht="30" customHeight="1">
      <c r="A10" s="69" t="inlineStr">
        <is>
          <t>Nº de errores</t>
        </is>
      </c>
      <c r="B10" s="70" t="inlineStr">
        <is>
          <t>Conteo de defectos — diap. 14-16</t>
        </is>
      </c>
      <c r="C10" s="71" t="inlineStr">
        <is>
          <t>Pruebas</t>
        </is>
      </c>
      <c r="D10" s="72" t="inlineStr">
        <is>
          <t>D-01…D-05 marcados en las suites</t>
        </is>
      </c>
    </row>
    <row r="11" ht="30" customHeight="1">
      <c r="A11" s="36" t="inlineStr">
        <is>
          <t>Densidad de fallos</t>
        </is>
      </c>
      <c r="B11" s="73" t="inlineStr">
        <is>
          <t>Defectos / KLoC — diap. 32</t>
        </is>
      </c>
      <c r="C11" s="38" t="inlineStr">
        <is>
          <t>ISO 25010 · Fiabilidad</t>
        </is>
      </c>
      <c r="D11" s="68" t="inlineStr">
        <is>
          <t>Defectos / (SLOC/1000); SLOC medido con conteo estático</t>
        </is>
      </c>
    </row>
    <row r="12" ht="30" customHeight="1">
      <c r="A12" s="69" t="inlineStr">
        <is>
          <t>Cobertura de pruebas</t>
        </is>
      </c>
      <c r="B12" s="70" t="inlineStr">
        <is>
          <t>Líneas/ramas ejecutadas / totales × 100 — diap. 31</t>
        </is>
      </c>
      <c r="C12" s="71" t="inlineStr">
        <is>
          <t>ISO 25010 · Fiabilidad</t>
        </is>
      </c>
      <c r="D12" s="72" t="inlineStr">
        <is>
          <t>Ramas de decisión cubiertas en backend</t>
        </is>
      </c>
    </row>
    <row r="13" ht="30" customHeight="1">
      <c r="A13" s="36" t="inlineStr">
        <is>
          <t>LoC (SLOC)</t>
        </is>
      </c>
      <c r="B13" s="73" t="inlineStr">
        <is>
          <t>Nº total de líneas de código — diap. 28</t>
        </is>
      </c>
      <c r="C13" s="38" t="inlineStr">
        <is>
          <t>ISO 25010 · Mantenibilidad</t>
        </is>
      </c>
      <c r="D13" s="68" t="inlineStr">
        <is>
          <t>Conteo sin blancos ni comentarios por archivo</t>
        </is>
      </c>
    </row>
    <row r="14" ht="30" customHeight="1">
      <c r="A14" s="69" t="inlineStr">
        <is>
          <t>Duplicación</t>
        </is>
      </c>
      <c r="B14" s="70" t="inlineStr">
        <is>
          <t>Líneas duplicadas / total × 100 — diap. 27</t>
        </is>
      </c>
      <c r="C14" s="71" t="inlineStr">
        <is>
          <t>ISO 25010 · Mantenibilidad</t>
        </is>
      </c>
      <c r="D14" s="72" t="inlineStr">
        <is>
          <t>Bloque de notificación (BE) y try/catch+finally (FE) repetidos</t>
        </is>
      </c>
    </row>
    <row r="15" ht="30" customHeight="1">
      <c r="A15" s="36" t="inlineStr">
        <is>
          <t>Acoplamiento (CBO)</t>
        </is>
      </c>
      <c r="B15" s="73" t="inlineStr">
        <is>
          <t>Σ dependencias entre módulos — diap. 29</t>
        </is>
      </c>
      <c r="C15" s="38" t="inlineStr">
        <is>
          <t>ISO 25010 · Mantenibilidad</t>
        </is>
      </c>
      <c r="D15" s="68" t="inlineStr">
        <is>
          <t>Imports de colaboradores por use-case (interfaces de repositorio)</t>
        </is>
      </c>
    </row>
    <row r="16" ht="30" customHeight="1">
      <c r="A16" s="69" t="inlineStr">
        <is>
          <t>Herencia (DIT)</t>
        </is>
      </c>
      <c r="B16" s="70" t="inlineStr">
        <is>
          <t>Niveles de herencia desde la raíz — diap. 30</t>
        </is>
      </c>
      <c r="C16" s="71" t="inlineStr">
        <is>
          <t>ISO 25010 · Mantenibilidad</t>
        </is>
      </c>
      <c r="D16" s="72" t="inlineStr">
        <is>
          <t>Sin herencia en el módulo → DIT=1 (BE) / 0 (FE funciones)</t>
        </is>
      </c>
    </row>
    <row r="17" ht="30" customHeight="1">
      <c r="A17" s="36" t="inlineStr">
        <is>
          <t>Tiempo de respuesta</t>
        </is>
      </c>
      <c r="B17" s="73" t="inlineStr">
        <is>
          <t>T_fin − T_inicio — diap. 34</t>
        </is>
      </c>
      <c r="C17" s="38" t="inlineStr">
        <is>
          <t>ISO 25010 · Eficiencia</t>
        </is>
      </c>
      <c r="D17" s="68" t="inlineStr">
        <is>
          <t>duracionMs por caso en support/runner.ts (pendiente de corrida)</t>
        </is>
      </c>
    </row>
    <row r="18" ht="30" customHeight="1">
      <c r="A18" s="69" t="inlineStr">
        <is>
          <t>Uso CPU / Memoria</t>
        </is>
      </c>
      <c r="B18" s="70" t="inlineStr">
        <is>
          <t>(T_CPU/T_total)×100 · (Mem/Mem_total)×100 — diap. 33</t>
        </is>
      </c>
      <c r="C18" s="71" t="inlineStr">
        <is>
          <t>ISO 25010 · Eficiencia</t>
        </is>
      </c>
      <c r="D18" s="72" t="inlineStr">
        <is>
          <t>process.cpuUsage()/memoryUsage() — 'si aplica'</t>
        </is>
      </c>
    </row>
    <row r="19" ht="30" customHeight="1">
      <c r="A19" s="36" t="inlineStr">
        <is>
          <t>Índice de vulnerabilidad</t>
        </is>
      </c>
      <c r="B19" s="73" t="inlineStr">
        <is>
          <t>Nº vulnerabilidades / KLoC — diap. 36</t>
        </is>
      </c>
      <c r="C19" s="38" t="inlineStr">
        <is>
          <t>ISO 25010 · Seguridad</t>
        </is>
      </c>
      <c r="D19" s="68" t="inlineStr">
        <is>
          <t>0 vulnerabilidades detectadas por análisis estático</t>
        </is>
      </c>
    </row>
    <row r="20" ht="30" customHeight="1">
      <c r="A20" s="69" t="inlineStr">
        <is>
          <t>Tasa de defectos</t>
        </is>
      </c>
      <c r="B20" s="70" t="inlineStr">
        <is>
          <t>Defectos / nº funcionalidades — diap. 37</t>
        </is>
      </c>
      <c r="C20" s="71" t="inlineStr">
        <is>
          <t>Proceso</t>
        </is>
      </c>
      <c r="D20" s="72" t="inlineStr">
        <is>
          <t>5 defectos / 5 funcionalidades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2026-09-01T05:21:47Z</dcterms:created>
  <dcterms:modified xsi:type="dcterms:W3CDTF">2026-09-01T05:21:47Z</dcterms:modified>
</cp:coreProperties>
</file>