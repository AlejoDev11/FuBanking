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Matriz de Trazabilidad" sheetId="2" state="visible" r:id="rId2"/>
    <sheet xmlns:r="http://schemas.openxmlformats.org/officeDocument/2006/relationships" name="Cobertura por Requisito" sheetId="3" state="visible" r:id="rId3"/>
    <sheet xmlns:r="http://schemas.openxmlformats.org/officeDocument/2006/relationships" name="Defectos" sheetId="4" state="visible" r:id="rId4"/>
  </sheets>
  <definedNames>
    <definedName name="_xlnm._FilterDatabase" localSheetId="1" hidden="1">'Matriz de Trazabilidad'!$A$1:$O$236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9"/>
    </font>
    <font>
      <name val="Arial"/>
      <b val="1"/>
      <sz val="9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164" fontId="3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Matriz de trazabilidad — Bolsillos y Depositar (FuBanking)</t>
        </is>
      </c>
      <c r="B1" t="inlineStr"/>
    </row>
    <row r="2">
      <c r="A2" s="2" t="inlineStr">
        <is>
          <t>Responsable</t>
        </is>
      </c>
      <c r="B2" s="3" t="inlineStr">
        <is>
          <t>Alejandro Bustamante</t>
        </is>
      </c>
    </row>
    <row r="3">
      <c r="A3" s="2" t="inlineStr">
        <is>
          <t>Fecha de ejecución</t>
        </is>
      </c>
      <c r="B3" s="3" t="inlineStr">
        <is>
          <t>2026-10-26</t>
        </is>
      </c>
    </row>
    <row r="4">
      <c r="A4" s="2" t="inlineStr">
        <is>
          <t>Fuente de cada fila</t>
        </is>
      </c>
      <c r="B4" s="3" t="inlineStr">
        <is>
          <t>Reportes reales de ejecución: Cypress (cucumber-report.json), Serenity/JS, Newman, Stagehand, Playwright y Vitest; casos TC-101..152 del Excel "Casos y Escenarios FuBank.xlsx".</t>
        </is>
      </c>
    </row>
    <row r="5">
      <c r="A5" s="2" t="inlineStr">
        <is>
          <t>ID Requisito</t>
        </is>
      </c>
      <c r="B5" s="3" t="inlineStr">
        <is>
          <t>HU-23 Crear · HU-24 Consultar/Editar · HU-25 Eliminar · HU-26 Transferir · EXTRA Depositar (funcionalidad extra).</t>
        </is>
      </c>
    </row>
    <row r="6">
      <c r="A6" s="2" t="inlineStr">
        <is>
          <t>Estado</t>
        </is>
      </c>
      <c r="B6" s="3" t="inlineStr">
        <is>
          <t>Aprobado / Fallido / Pendiente / Bloqueado (lista desplegable en la columna L).</t>
        </is>
      </c>
    </row>
    <row r="7">
      <c r="A7" s="2" t="inlineStr">
        <is>
          <t>ID Defecto</t>
        </is>
      </c>
      <c r="B7" s="3" t="inlineStr">
        <is>
          <t>Ver hoja Defectos. "-" = sin defecto asociado.</t>
        </is>
      </c>
    </row>
    <row r="8">
      <c r="A8" s="2" t="inlineStr">
        <is>
          <t>Cobertura por Requisito</t>
        </is>
      </c>
      <c r="B8" s="3" t="inlineStr">
        <is>
          <t>Calculada con COUNTIFS sobre la matriz: si se edita un Estado, los totales se recalculan.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6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22" customWidth="1" min="3" max="3"/>
    <col width="14" customWidth="1" min="4" max="4"/>
    <col width="40" customWidth="1" min="5" max="5"/>
    <col width="16" customWidth="1" min="6" max="6"/>
    <col width="14" customWidth="1" min="7" max="7"/>
    <col width="26" customWidth="1" min="8" max="8"/>
    <col width="34" customWidth="1" min="9" max="9"/>
    <col width="44" customWidth="1" min="10" max="10"/>
    <col width="44" customWidth="1" min="11" max="11"/>
    <col width="10" customWidth="1" min="12" max="12"/>
    <col width="12" customWidth="1" min="13" max="13"/>
    <col width="36" customWidth="1" min="14" max="14"/>
    <col width="18" customWidth="1" min="15" max="15"/>
  </cols>
  <sheetData>
    <row r="1">
      <c r="A1" s="4" t="inlineStr">
        <is>
          <t>ID Requisito</t>
        </is>
      </c>
      <c r="B1" s="4" t="inlineStr">
        <is>
          <t>Funcionalidad</t>
        </is>
      </c>
      <c r="C1" s="4" t="inlineStr">
        <is>
          <t>Escenario / Agrupación</t>
        </is>
      </c>
      <c r="D1" s="4" t="inlineStr">
        <is>
          <t>ID Caso</t>
        </is>
      </c>
      <c r="E1" s="4" t="inlineStr">
        <is>
          <t>Caso de prueba</t>
        </is>
      </c>
      <c r="F1" s="4" t="inlineStr">
        <is>
          <t>Nivel</t>
        </is>
      </c>
      <c r="G1" s="4" t="inlineStr">
        <is>
          <t>Tipo</t>
        </is>
      </c>
      <c r="H1" s="4" t="inlineStr">
        <is>
          <t>Herramienta / Suite</t>
        </is>
      </c>
      <c r="I1" s="4" t="inlineStr">
        <is>
          <t>Ubicación</t>
        </is>
      </c>
      <c r="J1" s="4" t="inlineStr">
        <is>
          <t>Resultado esperado</t>
        </is>
      </c>
      <c r="K1" s="4" t="inlineStr">
        <is>
          <t>Resultado obtenido</t>
        </is>
      </c>
      <c r="L1" s="4" t="inlineStr">
        <is>
          <t>Estado</t>
        </is>
      </c>
      <c r="M1" s="4" t="inlineStr">
        <is>
          <t>Fecha ejecución</t>
        </is>
      </c>
      <c r="N1" s="4" t="inlineStr">
        <is>
          <t>Evidencia</t>
        </is>
      </c>
      <c r="O1" s="4" t="inlineStr">
        <is>
          <t>ID Defecto</t>
        </is>
      </c>
    </row>
    <row r="2">
      <c r="A2" s="5" t="inlineStr">
        <is>
          <t>HU-23</t>
        </is>
      </c>
      <c r="B2" s="5" t="inlineStr">
        <is>
          <t>Crear bolsillo</t>
        </is>
      </c>
      <c r="C2" s="5" t="inlineStr">
        <is>
          <t>crear_bolsillo.feature</t>
        </is>
      </c>
      <c r="D2" s="5" t="inlineStr">
        <is>
          <t>CY-CRE-01</t>
        </is>
      </c>
      <c r="E2" s="5" t="inlineStr">
        <is>
          <t>Crear un bolsillo descuenta el monto del saldo de la cuenta</t>
        </is>
      </c>
      <c r="F2" s="5" t="inlineStr">
        <is>
          <t>Integración (API)</t>
        </is>
      </c>
      <c r="G2" s="5" t="inlineStr">
        <is>
          <t>Funcional</t>
        </is>
      </c>
      <c r="H2" s="5" t="inlineStr">
        <is>
          <t>Cypress + Gherkin (cucumber-preprocessor)</t>
        </is>
      </c>
      <c r="I2" s="5" t="inlineStr">
        <is>
          <t>e2e/serenity/features · cypress/bolsillos/features/crear_bolsillo.feature</t>
        </is>
      </c>
      <c r="J2" s="5" t="inlineStr">
        <is>
          <t>la respuesta HTTP tiene estado 201; el saldo de su cuenta es 400000</t>
        </is>
      </c>
      <c r="K2" s="5" t="inlineStr">
        <is>
          <t>Todos los pasos pasaron</t>
        </is>
      </c>
      <c r="L2" s="6" t="inlineStr">
        <is>
          <t>Aprobado</t>
        </is>
      </c>
      <c r="M2" s="5" t="inlineStr">
        <is>
          <t>2026-10-26</t>
        </is>
      </c>
      <c r="N2" s="5" t="inlineStr">
        <is>
          <t>cypress/reports/bolsillos/cucumber-report.html</t>
        </is>
      </c>
      <c r="O2" s="5" t="inlineStr">
        <is>
          <t>-</t>
        </is>
      </c>
    </row>
    <row r="3">
      <c r="A3" s="5" t="inlineStr">
        <is>
          <t>HU-23</t>
        </is>
      </c>
      <c r="B3" s="5" t="inlineStr">
        <is>
          <t>Crear bolsillo</t>
        </is>
      </c>
      <c r="C3" s="5" t="inlineStr">
        <is>
          <t>crear_bolsillo.feature</t>
        </is>
      </c>
      <c r="D3" s="5" t="inlineStr">
        <is>
          <t>CY-CRE-02</t>
        </is>
      </c>
      <c r="E3" s="5" t="inlineStr">
        <is>
          <t>Se puede apartar todo el saldo disponible</t>
        </is>
      </c>
      <c r="F3" s="5" t="inlineStr">
        <is>
          <t>Integración (API)</t>
        </is>
      </c>
      <c r="G3" s="5" t="inlineStr">
        <is>
          <t>Funcional</t>
        </is>
      </c>
      <c r="H3" s="5" t="inlineStr">
        <is>
          <t>Cypress + Gherkin (cucumber-preprocessor)</t>
        </is>
      </c>
      <c r="I3" s="5" t="inlineStr">
        <is>
          <t>e2e/serenity/features · cypress/bolsillos/features/crear_bolsillo.feature</t>
        </is>
      </c>
      <c r="J3" s="5" t="inlineStr">
        <is>
          <t>la respuesta HTTP tiene estado 201; el saldo de su cuenta es 0</t>
        </is>
      </c>
      <c r="K3" s="5" t="inlineStr">
        <is>
          <t>Todos los pasos pasaron</t>
        </is>
      </c>
      <c r="L3" s="6" t="inlineStr">
        <is>
          <t>Aprobado</t>
        </is>
      </c>
      <c r="M3" s="5" t="inlineStr">
        <is>
          <t>2026-10-26</t>
        </is>
      </c>
      <c r="N3" s="5" t="inlineStr">
        <is>
          <t>cypress/reports/bolsillos/cucumber-report.html</t>
        </is>
      </c>
      <c r="O3" s="5" t="inlineStr">
        <is>
          <t>-</t>
        </is>
      </c>
    </row>
    <row r="4">
      <c r="A4" s="5" t="inlineStr">
        <is>
          <t>HU-23</t>
        </is>
      </c>
      <c r="B4" s="5" t="inlineStr">
        <is>
          <t>Crear bolsillo</t>
        </is>
      </c>
      <c r="C4" s="5" t="inlineStr">
        <is>
          <t>crear_bolsillo.feature</t>
        </is>
      </c>
      <c r="D4" s="5" t="inlineStr">
        <is>
          <t>CY-CRE-03</t>
        </is>
      </c>
      <c r="E4" s="5" t="inlineStr">
        <is>
          <t>Rechazar un bolsillo con nombre vacío</t>
        </is>
      </c>
      <c r="F4" s="5" t="inlineStr">
        <is>
          <t>Integración (API)</t>
        </is>
      </c>
      <c r="G4" s="5" t="inlineStr">
        <is>
          <t>Funcional</t>
        </is>
      </c>
      <c r="H4" s="5" t="inlineStr">
        <is>
          <t>Cypress + Gherkin (cucumber-preprocessor)</t>
        </is>
      </c>
      <c r="I4" s="5" t="inlineStr">
        <is>
          <t>e2e/serenity/features · cypress/bolsillos/features/crear_bolsillo.feature</t>
        </is>
      </c>
      <c r="J4" s="5" t="inlineStr">
        <is>
          <t>la respuesta HTTP tiene estado 400; el código de error es "VALIDATION_ERROR"; el saldo de su cuenta es 500000</t>
        </is>
      </c>
      <c r="K4" s="5" t="inlineStr">
        <is>
          <t>Todos los pasos pasaron</t>
        </is>
      </c>
      <c r="L4" s="6" t="inlineStr">
        <is>
          <t>Aprobado</t>
        </is>
      </c>
      <c r="M4" s="5" t="inlineStr">
        <is>
          <t>2026-10-26</t>
        </is>
      </c>
      <c r="N4" s="5" t="inlineStr">
        <is>
          <t>cypress/reports/bolsillos/cucumber-report.html</t>
        </is>
      </c>
      <c r="O4" s="5" t="inlineStr">
        <is>
          <t>-</t>
        </is>
      </c>
    </row>
    <row r="5">
      <c r="A5" s="5" t="inlineStr">
        <is>
          <t>HU-23</t>
        </is>
      </c>
      <c r="B5" s="5" t="inlineStr">
        <is>
          <t>Crear bolsillo</t>
        </is>
      </c>
      <c r="C5" s="5" t="inlineStr">
        <is>
          <t>crear_bolsillo.feature</t>
        </is>
      </c>
      <c r="D5" s="5" t="inlineStr">
        <is>
          <t>CY-CRE-04</t>
        </is>
      </c>
      <c r="E5" s="5" t="inlineStr">
        <is>
          <t>Rechazar un bolsillo con monto negativo</t>
        </is>
      </c>
      <c r="F5" s="5" t="inlineStr">
        <is>
          <t>Integración (API)</t>
        </is>
      </c>
      <c r="G5" s="5" t="inlineStr">
        <is>
          <t>Funcional</t>
        </is>
      </c>
      <c r="H5" s="5" t="inlineStr">
        <is>
          <t>Cypress + Gherkin (cucumber-preprocessor)</t>
        </is>
      </c>
      <c r="I5" s="5" t="inlineStr">
        <is>
          <t>e2e/serenity/features · cypress/bolsillos/features/crear_bolsillo.feature</t>
        </is>
      </c>
      <c r="J5" s="5" t="inlineStr">
        <is>
          <t>la respuesta HTTP tiene estado 400; el código de error es "VALIDATION_ERROR"; el saldo de su cuenta es 500000</t>
        </is>
      </c>
      <c r="K5" s="5" t="inlineStr">
        <is>
          <t>Todos los pasos pasaron</t>
        </is>
      </c>
      <c r="L5" s="6" t="inlineStr">
        <is>
          <t>Aprobado</t>
        </is>
      </c>
      <c r="M5" s="5" t="inlineStr">
        <is>
          <t>2026-10-26</t>
        </is>
      </c>
      <c r="N5" s="5" t="inlineStr">
        <is>
          <t>cypress/reports/bolsillos/cucumber-report.html</t>
        </is>
      </c>
      <c r="O5" s="5" t="inlineStr">
        <is>
          <t>-</t>
        </is>
      </c>
    </row>
    <row r="6">
      <c r="A6" s="5" t="inlineStr">
        <is>
          <t>HU-23</t>
        </is>
      </c>
      <c r="B6" s="5" t="inlineStr">
        <is>
          <t>Crear bolsillo</t>
        </is>
      </c>
      <c r="C6" s="5" t="inlineStr">
        <is>
          <t>crear_bolsillo.feature</t>
        </is>
      </c>
      <c r="D6" s="5" t="inlineStr">
        <is>
          <t>CY-CRE-05</t>
        </is>
      </c>
      <c r="E6" s="5" t="inlineStr">
        <is>
          <t>Rechazar un bolsillo con monto mayor al saldo</t>
        </is>
      </c>
      <c r="F6" s="5" t="inlineStr">
        <is>
          <t>Integración (API)</t>
        </is>
      </c>
      <c r="G6" s="5" t="inlineStr">
        <is>
          <t>Funcional</t>
        </is>
      </c>
      <c r="H6" s="5" t="inlineStr">
        <is>
          <t>Cypress + Gherkin (cucumber-preprocessor)</t>
        </is>
      </c>
      <c r="I6" s="5" t="inlineStr">
        <is>
          <t>e2e/serenity/features · cypress/bolsillos/features/crear_bolsillo.feature</t>
        </is>
      </c>
      <c r="J6" s="5" t="inlineStr">
        <is>
          <t>la respuesta HTTP tiene estado 400; el código de error es "INSUFFICIENT_AVAILABLE_BALANCE"; el saldo de su cuenta es 500000</t>
        </is>
      </c>
      <c r="K6" s="5" t="inlineStr">
        <is>
          <t>Todos los pasos pasaron</t>
        </is>
      </c>
      <c r="L6" s="6" t="inlineStr">
        <is>
          <t>Aprobado</t>
        </is>
      </c>
      <c r="M6" s="5" t="inlineStr">
        <is>
          <t>2026-10-26</t>
        </is>
      </c>
      <c r="N6" s="5" t="inlineStr">
        <is>
          <t>cypress/reports/bolsillos/cucumber-report.html</t>
        </is>
      </c>
      <c r="O6" s="5" t="inlineStr">
        <is>
          <t>-</t>
        </is>
      </c>
    </row>
    <row r="7">
      <c r="A7" s="5" t="inlineStr">
        <is>
          <t>HU-23</t>
        </is>
      </c>
      <c r="B7" s="5" t="inlineStr">
        <is>
          <t>Crear bolsillo</t>
        </is>
      </c>
      <c r="C7" s="5" t="inlineStr">
        <is>
          <t>crear_bolsillo.feature</t>
        </is>
      </c>
      <c r="D7" s="5" t="inlineStr">
        <is>
          <t>CY-CRE-06</t>
        </is>
      </c>
      <c r="E7" s="5" t="inlineStr">
        <is>
          <t>Crear un bolsillo desde la pantalla de bolsillos</t>
        </is>
      </c>
      <c r="F7" s="5" t="inlineStr">
        <is>
          <t>Sistema (E2E UI)</t>
        </is>
      </c>
      <c r="G7" s="5" t="inlineStr">
        <is>
          <t>Funcional</t>
        </is>
      </c>
      <c r="H7" s="5" t="inlineStr">
        <is>
          <t>Cypress + Gherkin (cucumber-preprocessor)</t>
        </is>
      </c>
      <c r="I7" s="5" t="inlineStr">
        <is>
          <t>e2e/serenity/features · cypress/bolsillos/features/crear_bolsillo.feature</t>
        </is>
      </c>
      <c r="J7" s="5" t="inlineStr">
        <is>
          <t>ella ve la notificación "Bolsillo creado"; ella ve el bolsillo "Vacaciones" con 100000; el saldo de su cuenta es 400000</t>
        </is>
      </c>
      <c r="K7" s="5" t="inlineStr">
        <is>
          <t>Todos los pasos pasaron</t>
        </is>
      </c>
      <c r="L7" s="6" t="inlineStr">
        <is>
          <t>Aprobado</t>
        </is>
      </c>
      <c r="M7" s="5" t="inlineStr">
        <is>
          <t>2026-10-26</t>
        </is>
      </c>
      <c r="N7" s="5" t="inlineStr">
        <is>
          <t>cypress/reports/bolsillos/cucumber-report.html</t>
        </is>
      </c>
      <c r="O7" s="5" t="inlineStr">
        <is>
          <t>-</t>
        </is>
      </c>
    </row>
    <row r="8">
      <c r="A8" s="5" t="inlineStr">
        <is>
          <t>HU-23</t>
        </is>
      </c>
      <c r="B8" s="5" t="inlineStr">
        <is>
          <t>Crear bolsillo</t>
        </is>
      </c>
      <c r="C8" s="5" t="inlineStr">
        <is>
          <t>crear_bolsillo.feature</t>
        </is>
      </c>
      <c r="D8" s="5" t="inlineStr">
        <is>
          <t>CY-CRE-07</t>
        </is>
      </c>
      <c r="E8" s="5" t="inlineStr">
        <is>
          <t>La pantalla pide el nombre antes de crear el bolsillo</t>
        </is>
      </c>
      <c r="F8" s="5" t="inlineStr">
        <is>
          <t>Sistema (E2E UI)</t>
        </is>
      </c>
      <c r="G8" s="5" t="inlineStr">
        <is>
          <t>Funcional</t>
        </is>
      </c>
      <c r="H8" s="5" t="inlineStr">
        <is>
          <t>Cypress + Gherkin (cucumber-preprocessor)</t>
        </is>
      </c>
      <c r="I8" s="5" t="inlineStr">
        <is>
          <t>e2e/serenity/features · cypress/bolsillos/features/crear_bolsillo.feature</t>
        </is>
      </c>
      <c r="J8" s="5" t="inlineStr">
        <is>
          <t>ella ve la notificación "Falta información"; el saldo de su cuenta es 500000</t>
        </is>
      </c>
      <c r="K8" s="5" t="inlineStr">
        <is>
          <t>Todos los pasos pasaron</t>
        </is>
      </c>
      <c r="L8" s="6" t="inlineStr">
        <is>
          <t>Aprobado</t>
        </is>
      </c>
      <c r="M8" s="5" t="inlineStr">
        <is>
          <t>2026-10-26</t>
        </is>
      </c>
      <c r="N8" s="5" t="inlineStr">
        <is>
          <t>cypress/reports/bolsillos/cucumber-report.html</t>
        </is>
      </c>
      <c r="O8" s="5" t="inlineStr">
        <is>
          <t>-</t>
        </is>
      </c>
    </row>
    <row r="9">
      <c r="A9" s="5" t="inlineStr">
        <is>
          <t>HU-23</t>
        </is>
      </c>
      <c r="B9" s="5" t="inlineStr">
        <is>
          <t>Crear bolsillo</t>
        </is>
      </c>
      <c r="C9" s="5" t="inlineStr">
        <is>
          <t>Keploy test-set-0</t>
        </is>
      </c>
      <c r="D9" s="5" t="inlineStr">
        <is>
          <t>KP-post-api-v1-pockets-1</t>
        </is>
      </c>
      <c r="E9" s="5" t="inlineStr">
        <is>
          <t>post-api-v1-pockets-1</t>
        </is>
      </c>
      <c r="F9" s="5" t="inlineStr">
        <is>
          <t>Integración (API, mocks de Supabase)</t>
        </is>
      </c>
      <c r="G9" s="5" t="inlineStr">
        <is>
          <t>Regresión</t>
        </is>
      </c>
      <c r="H9" s="5" t="inlineStr">
        <is>
          <t>Keploy (herramienta IA 3)</t>
        </is>
      </c>
      <c r="I9" s="5" t="inlineStr">
        <is>
          <t>03-keploy/evidence/test-set-0-saneado/tests/post-api-v1-pockets-1.yaml</t>
        </is>
      </c>
      <c r="J9" s="5" t="inlineStr">
        <is>
          <t>Respuesta igual a la grabada (ruido declarado: data.token, data.id, Etag)</t>
        </is>
      </c>
      <c r="K9" s="5" t="inlineStr">
        <is>
          <t>Reproducida sin Supabase, igual a la grabada</t>
        </is>
      </c>
      <c r="L9" s="6" t="inlineStr">
        <is>
          <t>Aprobado</t>
        </is>
      </c>
      <c r="M9" s="5" t="inlineStr">
        <is>
          <t>2026-10-26</t>
        </is>
      </c>
      <c r="N9" s="5" t="inlineStr">
        <is>
          <t>03-keploy/evidence/02-replay-con-ruido-50-de-50.txt</t>
        </is>
      </c>
      <c r="O9" s="5" t="inlineStr">
        <is>
          <t>-</t>
        </is>
      </c>
    </row>
    <row r="10">
      <c r="A10" s="5" t="inlineStr">
        <is>
          <t>HU-23</t>
        </is>
      </c>
      <c r="B10" s="5" t="inlineStr">
        <is>
          <t>Crear bolsillo</t>
        </is>
      </c>
      <c r="C10" s="5" t="inlineStr">
        <is>
          <t>Keploy test-set-0</t>
        </is>
      </c>
      <c r="D10" s="5" t="inlineStr">
        <is>
          <t>KP-post-api-v1-pockets-2</t>
        </is>
      </c>
      <c r="E10" s="5" t="inlineStr">
        <is>
          <t>post-api-v1-pockets-2</t>
        </is>
      </c>
      <c r="F10" s="5" t="inlineStr">
        <is>
          <t>Integración (API, mocks de Supabase)</t>
        </is>
      </c>
      <c r="G10" s="5" t="inlineStr">
        <is>
          <t>Regresión</t>
        </is>
      </c>
      <c r="H10" s="5" t="inlineStr">
        <is>
          <t>Keploy (herramienta IA 3)</t>
        </is>
      </c>
      <c r="I10" s="5" t="inlineStr">
        <is>
          <t>03-keploy/evidence/test-set-0-saneado/tests/post-api-v1-pockets-2.yaml</t>
        </is>
      </c>
      <c r="J10" s="5" t="inlineStr">
        <is>
          <t>Respuesta igual a la grabada (ruido declarado: data.token, data.id, Etag)</t>
        </is>
      </c>
      <c r="K10" s="5" t="inlineStr">
        <is>
          <t>Reproducida sin Supabase, igual a la grabada</t>
        </is>
      </c>
      <c r="L10" s="6" t="inlineStr">
        <is>
          <t>Aprobado</t>
        </is>
      </c>
      <c r="M10" s="5" t="inlineStr">
        <is>
          <t>2026-10-26</t>
        </is>
      </c>
      <c r="N10" s="5" t="inlineStr">
        <is>
          <t>03-keploy/evidence/02-replay-con-ruido-50-de-50.txt</t>
        </is>
      </c>
      <c r="O10" s="5" t="inlineStr">
        <is>
          <t>-</t>
        </is>
      </c>
    </row>
    <row r="11">
      <c r="A11" s="5" t="inlineStr">
        <is>
          <t>HU-23</t>
        </is>
      </c>
      <c r="B11" s="5" t="inlineStr">
        <is>
          <t>Crear bolsillo</t>
        </is>
      </c>
      <c r="C11" s="5" t="inlineStr">
        <is>
          <t>Keploy test-set-0</t>
        </is>
      </c>
      <c r="D11" s="5" t="inlineStr">
        <is>
          <t>KP-post-api-v1-pockets-3</t>
        </is>
      </c>
      <c r="E11" s="5" t="inlineStr">
        <is>
          <t>post-api-v1-pockets-3</t>
        </is>
      </c>
      <c r="F11" s="5" t="inlineStr">
        <is>
          <t>Integración (API, mocks de Supabase)</t>
        </is>
      </c>
      <c r="G11" s="5" t="inlineStr">
        <is>
          <t>Regresión</t>
        </is>
      </c>
      <c r="H11" s="5" t="inlineStr">
        <is>
          <t>Keploy (herramienta IA 3)</t>
        </is>
      </c>
      <c r="I11" s="5" t="inlineStr">
        <is>
          <t>03-keploy/evidence/test-set-0-saneado/tests/post-api-v1-pockets-3.yaml</t>
        </is>
      </c>
      <c r="J11" s="5" t="inlineStr">
        <is>
          <t>Respuesta igual a la grabada (ruido declarado: data.token, data.id, Etag)</t>
        </is>
      </c>
      <c r="K11" s="5" t="inlineStr">
        <is>
          <t>Reproducida sin Supabase, igual a la grabada</t>
        </is>
      </c>
      <c r="L11" s="6" t="inlineStr">
        <is>
          <t>Aprobado</t>
        </is>
      </c>
      <c r="M11" s="5" t="inlineStr">
        <is>
          <t>2026-10-26</t>
        </is>
      </c>
      <c r="N11" s="5" t="inlineStr">
        <is>
          <t>03-keploy/evidence/02-replay-con-ruido-50-de-50.txt</t>
        </is>
      </c>
      <c r="O11" s="5" t="inlineStr">
        <is>
          <t>-</t>
        </is>
      </c>
    </row>
    <row r="12">
      <c r="A12" s="5" t="inlineStr">
        <is>
          <t>HU-23</t>
        </is>
      </c>
      <c r="B12" s="5" t="inlineStr">
        <is>
          <t>Crear bolsillo</t>
        </is>
      </c>
      <c r="C12" s="5" t="inlineStr">
        <is>
          <t>Keploy test-set-0</t>
        </is>
      </c>
      <c r="D12" s="5" t="inlineStr">
        <is>
          <t>KP-post-api-v1-pockets-4</t>
        </is>
      </c>
      <c r="E12" s="5" t="inlineStr">
        <is>
          <t>post-api-v1-pockets-4</t>
        </is>
      </c>
      <c r="F12" s="5" t="inlineStr">
        <is>
          <t>Integración (API, mocks de Supabase)</t>
        </is>
      </c>
      <c r="G12" s="5" t="inlineStr">
        <is>
          <t>Regresión</t>
        </is>
      </c>
      <c r="H12" s="5" t="inlineStr">
        <is>
          <t>Keploy (herramienta IA 3)</t>
        </is>
      </c>
      <c r="I12" s="5" t="inlineStr">
        <is>
          <t>03-keploy/evidence/test-set-0-saneado/tests/post-api-v1-pockets-4.yaml</t>
        </is>
      </c>
      <c r="J12" s="5" t="inlineStr">
        <is>
          <t>Respuesta igual a la grabada (ruido declarado: data.token, data.id, Etag)</t>
        </is>
      </c>
      <c r="K12" s="5" t="inlineStr">
        <is>
          <t>Reproducida sin Supabase, igual a la grabada</t>
        </is>
      </c>
      <c r="L12" s="6" t="inlineStr">
        <is>
          <t>Aprobado</t>
        </is>
      </c>
      <c r="M12" s="5" t="inlineStr">
        <is>
          <t>2026-10-26</t>
        </is>
      </c>
      <c r="N12" s="5" t="inlineStr">
        <is>
          <t>03-keploy/evidence/02-replay-con-ruido-50-de-50.txt</t>
        </is>
      </c>
      <c r="O12" s="5" t="inlineStr">
        <is>
          <t>-</t>
        </is>
      </c>
    </row>
    <row r="13">
      <c r="A13" s="5" t="inlineStr">
        <is>
          <t>HU-23</t>
        </is>
      </c>
      <c r="B13" s="5" t="inlineStr">
        <is>
          <t>Crear bolsillo</t>
        </is>
      </c>
      <c r="C13" s="5" t="inlineStr">
        <is>
          <t>Keploy test-set-0</t>
        </is>
      </c>
      <c r="D13" s="5" t="inlineStr">
        <is>
          <t>KP-post-api-v1-pockets-5</t>
        </is>
      </c>
      <c r="E13" s="5" t="inlineStr">
        <is>
          <t>post-api-v1-pockets-5</t>
        </is>
      </c>
      <c r="F13" s="5" t="inlineStr">
        <is>
          <t>Integración (API, mocks de Supabase)</t>
        </is>
      </c>
      <c r="G13" s="5" t="inlineStr">
        <is>
          <t>Regresión</t>
        </is>
      </c>
      <c r="H13" s="5" t="inlineStr">
        <is>
          <t>Keploy (herramienta IA 3)</t>
        </is>
      </c>
      <c r="I13" s="5" t="inlineStr">
        <is>
          <t>03-keploy/evidence/test-set-0-saneado/tests/post-api-v1-pockets-5.yaml</t>
        </is>
      </c>
      <c r="J13" s="5" t="inlineStr">
        <is>
          <t>Respuesta igual a la grabada (ruido declarado: data.token, data.id, Etag)</t>
        </is>
      </c>
      <c r="K13" s="5" t="inlineStr">
        <is>
          <t>Reproducida sin Supabase, igual a la grabada</t>
        </is>
      </c>
      <c r="L13" s="6" t="inlineStr">
        <is>
          <t>Aprobado</t>
        </is>
      </c>
      <c r="M13" s="5" t="inlineStr">
        <is>
          <t>2026-10-26</t>
        </is>
      </c>
      <c r="N13" s="5" t="inlineStr">
        <is>
          <t>03-keploy/evidence/02-replay-con-ruido-50-de-50.txt</t>
        </is>
      </c>
      <c r="O13" s="5" t="inlineStr">
        <is>
          <t>-</t>
        </is>
      </c>
    </row>
    <row r="14">
      <c r="A14" s="5" t="inlineStr">
        <is>
          <t>HU-23</t>
        </is>
      </c>
      <c r="B14" s="5" t="inlineStr">
        <is>
          <t>Crear bolsillo</t>
        </is>
      </c>
      <c r="C14" s="5" t="inlineStr">
        <is>
          <t>Keploy test-set-0</t>
        </is>
      </c>
      <c r="D14" s="5" t="inlineStr">
        <is>
          <t>KP-post-api-v1-pockets-6</t>
        </is>
      </c>
      <c r="E14" s="5" t="inlineStr">
        <is>
          <t>post-api-v1-pockets-6</t>
        </is>
      </c>
      <c r="F14" s="5" t="inlineStr">
        <is>
          <t>Integración (API, mocks de Supabase)</t>
        </is>
      </c>
      <c r="G14" s="5" t="inlineStr">
        <is>
          <t>Regresión</t>
        </is>
      </c>
      <c r="H14" s="5" t="inlineStr">
        <is>
          <t>Keploy (herramienta IA 3)</t>
        </is>
      </c>
      <c r="I14" s="5" t="inlineStr">
        <is>
          <t>03-keploy/evidence/test-set-0-saneado/tests/post-api-v1-pockets-6.yaml</t>
        </is>
      </c>
      <c r="J14" s="5" t="inlineStr">
        <is>
          <t>Respuesta igual a la grabada (ruido declarado: data.token, data.id, Etag)</t>
        </is>
      </c>
      <c r="K14" s="5" t="inlineStr">
        <is>
          <t>Reproducida sin Supabase, igual a la grabada</t>
        </is>
      </c>
      <c r="L14" s="6" t="inlineStr">
        <is>
          <t>Aprobado</t>
        </is>
      </c>
      <c r="M14" s="5" t="inlineStr">
        <is>
          <t>2026-10-26</t>
        </is>
      </c>
      <c r="N14" s="5" t="inlineStr">
        <is>
          <t>03-keploy/evidence/02-replay-con-ruido-50-de-50.txt</t>
        </is>
      </c>
      <c r="O14" s="5" t="inlineStr">
        <is>
          <t>-</t>
        </is>
      </c>
    </row>
    <row r="15">
      <c r="A15" s="5" t="inlineStr">
        <is>
          <t>HU-23</t>
        </is>
      </c>
      <c r="B15" s="5" t="inlineStr">
        <is>
          <t>Crear bolsillo</t>
        </is>
      </c>
      <c r="C15" s="5" t="inlineStr">
        <is>
          <t>Keploy test-set-0</t>
        </is>
      </c>
      <c r="D15" s="5" t="inlineStr">
        <is>
          <t>KP-post-api-v1-pockets-7</t>
        </is>
      </c>
      <c r="E15" s="5" t="inlineStr">
        <is>
          <t>post-api-v1-pockets-7</t>
        </is>
      </c>
      <c r="F15" s="5" t="inlineStr">
        <is>
          <t>Integración (API, mocks de Supabase)</t>
        </is>
      </c>
      <c r="G15" s="5" t="inlineStr">
        <is>
          <t>Regresión</t>
        </is>
      </c>
      <c r="H15" s="5" t="inlineStr">
        <is>
          <t>Keploy (herramienta IA 3)</t>
        </is>
      </c>
      <c r="I15" s="5" t="inlineStr">
        <is>
          <t>03-keploy/evidence/test-set-0-saneado/tests/post-api-v1-pockets-7.yaml</t>
        </is>
      </c>
      <c r="J15" s="5" t="inlineStr">
        <is>
          <t>Respuesta igual a la grabada (ruido declarado: data.token, data.id, Etag)</t>
        </is>
      </c>
      <c r="K15" s="5" t="inlineStr">
        <is>
          <t>Reproducida sin Supabase, igual a la grabada</t>
        </is>
      </c>
      <c r="L15" s="6" t="inlineStr">
        <is>
          <t>Aprobado</t>
        </is>
      </c>
      <c r="M15" s="5" t="inlineStr">
        <is>
          <t>2026-10-26</t>
        </is>
      </c>
      <c r="N15" s="5" t="inlineStr">
        <is>
          <t>03-keploy/evidence/02-replay-con-ruido-50-de-50.txt</t>
        </is>
      </c>
      <c r="O15" s="5" t="inlineStr">
        <is>
          <t>-</t>
        </is>
      </c>
    </row>
    <row r="16">
      <c r="A16" s="5" t="inlineStr">
        <is>
          <t>HU-23</t>
        </is>
      </c>
      <c r="B16" s="5" t="inlineStr">
        <is>
          <t>Crear bolsillo</t>
        </is>
      </c>
      <c r="C16" s="5" t="inlineStr">
        <is>
          <t>Keploy test-set-0</t>
        </is>
      </c>
      <c r="D16" s="5" t="inlineStr">
        <is>
          <t>KP-post-api-v1-pockets-8</t>
        </is>
      </c>
      <c r="E16" s="5" t="inlineStr">
        <is>
          <t>post-api-v1-pockets-8</t>
        </is>
      </c>
      <c r="F16" s="5" t="inlineStr">
        <is>
          <t>Integración (API, mocks de Supabase)</t>
        </is>
      </c>
      <c r="G16" s="5" t="inlineStr">
        <is>
          <t>Regresión</t>
        </is>
      </c>
      <c r="H16" s="5" t="inlineStr">
        <is>
          <t>Keploy (herramienta IA 3)</t>
        </is>
      </c>
      <c r="I16" s="5" t="inlineStr">
        <is>
          <t>03-keploy/evidence/test-set-0-saneado/tests/post-api-v1-pockets-8.yaml</t>
        </is>
      </c>
      <c r="J16" s="5" t="inlineStr">
        <is>
          <t>Respuesta igual a la grabada (ruido declarado: data.token, data.id, Etag)</t>
        </is>
      </c>
      <c r="K16" s="5" t="inlineStr">
        <is>
          <t>Reproducida sin Supabase, igual a la grabada</t>
        </is>
      </c>
      <c r="L16" s="6" t="inlineStr">
        <is>
          <t>Aprobado</t>
        </is>
      </c>
      <c r="M16" s="5" t="inlineStr">
        <is>
          <t>2026-10-26</t>
        </is>
      </c>
      <c r="N16" s="5" t="inlineStr">
        <is>
          <t>03-keploy/evidence/02-replay-con-ruido-50-de-50.txt</t>
        </is>
      </c>
      <c r="O16" s="5" t="inlineStr">
        <is>
          <t>-</t>
        </is>
      </c>
    </row>
    <row r="17">
      <c r="A17" s="5" t="inlineStr">
        <is>
          <t>HU-23</t>
        </is>
      </c>
      <c r="B17" s="5" t="inlineStr">
        <is>
          <t>Crear bolsillo</t>
        </is>
      </c>
      <c r="C17" s="5" t="inlineStr">
        <is>
          <t>ESC031</t>
        </is>
      </c>
      <c r="D17" s="5" t="inlineStr">
        <is>
          <t>TC-101</t>
        </is>
      </c>
      <c r="E17" s="5" t="inlineStr">
        <is>
          <t>Monto válido menor al saldo</t>
        </is>
      </c>
      <c r="F17" s="5" t="inlineStr">
        <is>
          <t>Integración</t>
        </is>
      </c>
      <c r="G17" s="5" t="inlineStr">
        <is>
          <t>Funcional</t>
        </is>
      </c>
      <c r="H17" s="5" t="inlineStr">
        <is>
          <t>Manual (caja negra) + Katalon Recorder</t>
        </is>
      </c>
      <c r="I17" s="5" t="inlineStr">
        <is>
          <t>Casos y Escenarios FuBank.xlsx · katalon/casos</t>
        </is>
      </c>
      <c r="J17" s="5" t="inlineStr">
        <is>
          <t>Se crea el bolsillo con nombre y monto (0&lt;monto&lt;saldo); el sistema lo crea y descuenta el monto del saldo disponible</t>
        </is>
      </c>
      <c r="K17" s="5" t="inlineStr">
        <is>
          <t>Según lo esperado</t>
        </is>
      </c>
      <c r="L17" s="6" t="inlineStr">
        <is>
          <t>Aprobado</t>
        </is>
      </c>
      <c r="M17" s="5" t="inlineStr">
        <is>
          <t>2026-10-10</t>
        </is>
      </c>
      <c r="N17" s="5" t="inlineStr">
        <is>
          <t>katalon/evidencias/ · Excel (hoja Casos de Prueba Detallado)</t>
        </is>
      </c>
      <c r="O17" s="5" t="inlineStr">
        <is>
          <t>-</t>
        </is>
      </c>
    </row>
    <row r="18">
      <c r="A18" s="5" t="inlineStr">
        <is>
          <t>HU-23</t>
        </is>
      </c>
      <c r="B18" s="5" t="inlineStr">
        <is>
          <t>Crear bolsillo</t>
        </is>
      </c>
      <c r="C18" s="5" t="inlineStr">
        <is>
          <t>ESC031</t>
        </is>
      </c>
      <c r="D18" s="5" t="inlineStr">
        <is>
          <t>TC-102</t>
        </is>
      </c>
      <c r="E18" s="5" t="inlineStr">
        <is>
          <t>Monto igual a cero (límite)</t>
        </is>
      </c>
      <c r="F18" s="5" t="inlineStr">
        <is>
          <t>Unitaria</t>
        </is>
      </c>
      <c r="G18" s="5" t="inlineStr">
        <is>
          <t>Funcional</t>
        </is>
      </c>
      <c r="H18" s="5" t="inlineStr">
        <is>
          <t>Manual (caja negra) + Katalon Recorder</t>
        </is>
      </c>
      <c r="I18" s="5" t="inlineStr">
        <is>
          <t>Casos y Escenarios FuBank.xlsx · katalon/casos</t>
        </is>
      </c>
      <c r="J18" s="5" t="inlineStr">
        <is>
          <t>Se crea un bolsillo con monto 0; el sistema lo permite y el saldo de la cuenta no cambia</t>
        </is>
      </c>
      <c r="K18" s="5" t="inlineStr">
        <is>
          <t>Según lo esperado</t>
        </is>
      </c>
      <c r="L18" s="6" t="inlineStr">
        <is>
          <t>Aprobado</t>
        </is>
      </c>
      <c r="M18" s="5" t="inlineStr">
        <is>
          <t>2026-10-10</t>
        </is>
      </c>
      <c r="N18" s="5" t="inlineStr">
        <is>
          <t>katalon/evidencias/ · Excel (hoja Casos de Prueba Detallado)</t>
        </is>
      </c>
      <c r="O18" s="5" t="inlineStr">
        <is>
          <t>-</t>
        </is>
      </c>
    </row>
    <row r="19">
      <c r="A19" s="5" t="inlineStr">
        <is>
          <t>HU-23</t>
        </is>
      </c>
      <c r="B19" s="5" t="inlineStr">
        <is>
          <t>Crear bolsillo</t>
        </is>
      </c>
      <c r="C19" s="5" t="inlineStr">
        <is>
          <t>ESC031</t>
        </is>
      </c>
      <c r="D19" s="5" t="inlineStr">
        <is>
          <t>TC-103</t>
        </is>
      </c>
      <c r="E19" s="5" t="inlineStr">
        <is>
          <t>Monto igual al saldo disponible (límite)</t>
        </is>
      </c>
      <c r="F19" s="5" t="inlineStr">
        <is>
          <t>Unitaria</t>
        </is>
      </c>
      <c r="G19" s="5" t="inlineStr">
        <is>
          <t>Funcional</t>
        </is>
      </c>
      <c r="H19" s="5" t="inlineStr">
        <is>
          <t>Manual (caja negra) + Katalon Recorder</t>
        </is>
      </c>
      <c r="I19" s="5" t="inlineStr">
        <is>
          <t>Casos y Escenarios FuBank.xlsx · katalon/casos</t>
        </is>
      </c>
      <c r="J19" s="5" t="inlineStr">
        <is>
          <t>Se crea un bolsillo reservando todo el saldo; el sistema lo permite y el saldo queda en 0</t>
        </is>
      </c>
      <c r="K19" s="5" t="inlineStr">
        <is>
          <t>Según lo esperado</t>
        </is>
      </c>
      <c r="L19" s="6" t="inlineStr">
        <is>
          <t>Aprobado</t>
        </is>
      </c>
      <c r="M19" s="5" t="inlineStr">
        <is>
          <t>2026-10-10</t>
        </is>
      </c>
      <c r="N19" s="5" t="inlineStr">
        <is>
          <t>katalon/evidencias/ · Excel (hoja Casos de Prueba Detallado)</t>
        </is>
      </c>
      <c r="O19" s="5" t="inlineStr">
        <is>
          <t>-</t>
        </is>
      </c>
    </row>
    <row r="20">
      <c r="A20" s="5" t="inlineStr">
        <is>
          <t>HU-23</t>
        </is>
      </c>
      <c r="B20" s="5" t="inlineStr">
        <is>
          <t>Crear bolsillo</t>
        </is>
      </c>
      <c r="C20" s="5" t="inlineStr">
        <is>
          <t>ESC031</t>
        </is>
      </c>
      <c r="D20" s="5" t="inlineStr">
        <is>
          <t>TC-104</t>
        </is>
      </c>
      <c r="E20" s="5" t="inlineStr">
        <is>
          <t>Nombre en longitud máxima (150)</t>
        </is>
      </c>
      <c r="F20" s="5" t="inlineStr">
        <is>
          <t>Unitaria</t>
        </is>
      </c>
      <c r="G20" s="5" t="inlineStr">
        <is>
          <t>Funcional</t>
        </is>
      </c>
      <c r="H20" s="5" t="inlineStr">
        <is>
          <t>Manual (caja negra) + Katalon Recorder</t>
        </is>
      </c>
      <c r="I20" s="5" t="inlineStr">
        <is>
          <t>Casos y Escenarios FuBank.xlsx · katalon/casos</t>
        </is>
      </c>
      <c r="J20" s="5" t="inlineStr">
        <is>
          <t>Se crea un bolsillo con un nombre de 150 caracteres; el sistema lo acepta</t>
        </is>
      </c>
      <c r="K20" s="5" t="inlineStr">
        <is>
          <t>Según lo esperado</t>
        </is>
      </c>
      <c r="L20" s="6" t="inlineStr">
        <is>
          <t>Aprobado</t>
        </is>
      </c>
      <c r="M20" s="5" t="inlineStr">
        <is>
          <t>2026-10-10</t>
        </is>
      </c>
      <c r="N20" s="5" t="inlineStr">
        <is>
          <t>katalon/evidencias/ · Excel (hoja Casos de Prueba Detallado)</t>
        </is>
      </c>
      <c r="O20" s="5" t="inlineStr">
        <is>
          <t>-</t>
        </is>
      </c>
    </row>
    <row r="21">
      <c r="A21" s="5" t="inlineStr">
        <is>
          <t>HU-23</t>
        </is>
      </c>
      <c r="B21" s="5" t="inlineStr">
        <is>
          <t>Crear bolsillo</t>
        </is>
      </c>
      <c r="C21" s="5" t="inlineStr">
        <is>
          <t>ESC031</t>
        </is>
      </c>
      <c r="D21" s="5" t="inlineStr">
        <is>
          <t>TC-105</t>
        </is>
      </c>
      <c r="E21" s="5" t="inlineStr">
        <is>
          <t>Generación de notificación</t>
        </is>
      </c>
      <c r="F21" s="5" t="inlineStr">
        <is>
          <t>Integración</t>
        </is>
      </c>
      <c r="G21" s="5" t="inlineStr">
        <is>
          <t>Funcional</t>
        </is>
      </c>
      <c r="H21" s="5" t="inlineStr">
        <is>
          <t>Manual (caja negra) + Katalon Recorder</t>
        </is>
      </c>
      <c r="I21" s="5" t="inlineStr">
        <is>
          <t>Casos y Escenarios FuBank.xlsx · katalon/casos</t>
        </is>
      </c>
      <c r="J21" s="5" t="inlineStr">
        <is>
          <t>Al crear el bolsillo el sistema registra la notificación "Bolsillo creado"</t>
        </is>
      </c>
      <c r="K21" s="5" t="inlineStr">
        <is>
          <t>Según lo esperado</t>
        </is>
      </c>
      <c r="L21" s="6" t="inlineStr">
        <is>
          <t>Aprobado</t>
        </is>
      </c>
      <c r="M21" s="5" t="inlineStr">
        <is>
          <t>2026-10-10</t>
        </is>
      </c>
      <c r="N21" s="5" t="inlineStr">
        <is>
          <t>katalon/evidencias/ · Excel (hoja Casos de Prueba Detallado)</t>
        </is>
      </c>
      <c r="O21" s="5" t="inlineStr">
        <is>
          <t>-</t>
        </is>
      </c>
    </row>
    <row r="22">
      <c r="A22" s="5" t="inlineStr">
        <is>
          <t>HU-23</t>
        </is>
      </c>
      <c r="B22" s="5" t="inlineStr">
        <is>
          <t>Crear bolsillo</t>
        </is>
      </c>
      <c r="C22" s="5" t="inlineStr">
        <is>
          <t>ESC032</t>
        </is>
      </c>
      <c r="D22" s="5" t="inlineStr">
        <is>
          <t>TC-106</t>
        </is>
      </c>
      <c r="E22" s="5" t="inlineStr">
        <is>
          <t>Monto negativo</t>
        </is>
      </c>
      <c r="F22" s="5" t="inlineStr">
        <is>
          <t>Unitaria</t>
        </is>
      </c>
      <c r="G22" s="5" t="inlineStr">
        <is>
          <t>Funcional</t>
        </is>
      </c>
      <c r="H22" s="5" t="inlineStr">
        <is>
          <t>Manual (caja negra) + Katalon Recorder</t>
        </is>
      </c>
      <c r="I22" s="5" t="inlineStr">
        <is>
          <t>Casos y Escenarios FuBank.xlsx · katalon/casos</t>
        </is>
      </c>
      <c r="J22" s="5" t="inlineStr">
        <is>
          <t>Se intenta crear con monto = -1; el sistema lo rechaza (INVALID_POCKET_AMOUNT) y no altera el saldo</t>
        </is>
      </c>
      <c r="K22" s="5" t="inlineStr">
        <is>
          <t>Según lo esperado</t>
        </is>
      </c>
      <c r="L22" s="6" t="inlineStr">
        <is>
          <t>Aprobado</t>
        </is>
      </c>
      <c r="M22" s="5" t="inlineStr">
        <is>
          <t>2026-10-10</t>
        </is>
      </c>
      <c r="N22" s="5" t="inlineStr">
        <is>
          <t>katalon/evidencias/ · Excel (hoja Casos de Prueba Detallado)</t>
        </is>
      </c>
      <c r="O22" s="5" t="inlineStr">
        <is>
          <t>-</t>
        </is>
      </c>
    </row>
    <row r="23">
      <c r="A23" s="5" t="inlineStr">
        <is>
          <t>HU-23</t>
        </is>
      </c>
      <c r="B23" s="5" t="inlineStr">
        <is>
          <t>Crear bolsillo</t>
        </is>
      </c>
      <c r="C23" s="5" t="inlineStr">
        <is>
          <t>ESC032</t>
        </is>
      </c>
      <c r="D23" s="5" t="inlineStr">
        <is>
          <t>TC-107</t>
        </is>
      </c>
      <c r="E23" s="5" t="inlineStr">
        <is>
          <t>Monto mayor al saldo disponible</t>
        </is>
      </c>
      <c r="F23" s="5" t="inlineStr">
        <is>
          <t>Unitaria</t>
        </is>
      </c>
      <c r="G23" s="5" t="inlineStr">
        <is>
          <t>Funcional</t>
        </is>
      </c>
      <c r="H23" s="5" t="inlineStr">
        <is>
          <t>Manual (caja negra) + Katalon Recorder</t>
        </is>
      </c>
      <c r="I23" s="5" t="inlineStr">
        <is>
          <t>Casos y Escenarios FuBank.xlsx · katalon/casos</t>
        </is>
      </c>
      <c r="J23" s="5" t="inlineStr">
        <is>
          <t>Se intenta crear con monto = saldo + 1; el sistema lo rechaza (INSUFFICIENT_AVAILABLE_BALANCE)</t>
        </is>
      </c>
      <c r="K23" s="5" t="inlineStr">
        <is>
          <t>Según lo esperado</t>
        </is>
      </c>
      <c r="L23" s="6" t="inlineStr">
        <is>
          <t>Aprobado</t>
        </is>
      </c>
      <c r="M23" s="5" t="inlineStr">
        <is>
          <t>2026-10-10</t>
        </is>
      </c>
      <c r="N23" s="5" t="inlineStr">
        <is>
          <t>katalon/evidencias/ · Excel (hoja Casos de Prueba Detallado)</t>
        </is>
      </c>
      <c r="O23" s="5" t="inlineStr">
        <is>
          <t>-</t>
        </is>
      </c>
    </row>
    <row r="24">
      <c r="A24" s="5" t="inlineStr">
        <is>
          <t>HU-23</t>
        </is>
      </c>
      <c r="B24" s="5" t="inlineStr">
        <is>
          <t>Crear bolsillo</t>
        </is>
      </c>
      <c r="C24" s="5" t="inlineStr">
        <is>
          <t>ESC032</t>
        </is>
      </c>
      <c r="D24" s="5" t="inlineStr">
        <is>
          <t>TC-108</t>
        </is>
      </c>
      <c r="E24" s="5" t="inlineStr">
        <is>
          <t>Monto que supera lo ya reservado</t>
        </is>
      </c>
      <c r="F24" s="5" t="inlineStr">
        <is>
          <t>Integración</t>
        </is>
      </c>
      <c r="G24" s="5" t="inlineStr">
        <is>
          <t>Funcional</t>
        </is>
      </c>
      <c r="H24" s="5" t="inlineStr">
        <is>
          <t>Manual (caja negra) + Katalon Recorder</t>
        </is>
      </c>
      <c r="I24" s="5" t="inlineStr">
        <is>
          <t>Casos y Escenarios FuBank.xlsx · katalon/casos</t>
        </is>
      </c>
      <c r="J24" s="5" t="inlineStr">
        <is>
          <t>Con bolsillos previos, el nuevo monto supera el saldo disponible; el sistema lo rechaza (INSUFFICIENT_AVAILABLE_BALANCE)</t>
        </is>
      </c>
      <c r="K24" s="5" t="inlineStr">
        <is>
          <t>Según lo esperado</t>
        </is>
      </c>
      <c r="L24" s="6" t="inlineStr">
        <is>
          <t>Aprobado</t>
        </is>
      </c>
      <c r="M24" s="5" t="inlineStr">
        <is>
          <t>2026-10-10</t>
        </is>
      </c>
      <c r="N24" s="5" t="inlineStr">
        <is>
          <t>katalon/evidencias/ · Excel (hoja Casos de Prueba Detallado)</t>
        </is>
      </c>
      <c r="O24" s="5" t="inlineStr">
        <is>
          <t>-</t>
        </is>
      </c>
    </row>
    <row r="25">
      <c r="A25" s="5" t="inlineStr">
        <is>
          <t>HU-23</t>
        </is>
      </c>
      <c r="B25" s="5" t="inlineStr">
        <is>
          <t>Crear bolsillo</t>
        </is>
      </c>
      <c r="C25" s="5" t="inlineStr">
        <is>
          <t>ESC033</t>
        </is>
      </c>
      <c r="D25" s="5" t="inlineStr">
        <is>
          <t>TC-109</t>
        </is>
      </c>
      <c r="E25" s="5" t="inlineStr">
        <is>
          <t>Nombre vacío</t>
        </is>
      </c>
      <c r="F25" s="5" t="inlineStr">
        <is>
          <t>Unitaria</t>
        </is>
      </c>
      <c r="G25" s="5" t="inlineStr">
        <is>
          <t>Funcional</t>
        </is>
      </c>
      <c r="H25" s="5" t="inlineStr">
        <is>
          <t>Manual (caja negra) + Katalon Recorder</t>
        </is>
      </c>
      <c r="I25" s="5" t="inlineStr">
        <is>
          <t>Casos y Escenarios FuBank.xlsx · katalon/casos</t>
        </is>
      </c>
      <c r="J25" s="5" t="inlineStr">
        <is>
          <t>Se intenta crear con nombre vacío; el sistema lo rechaza porque el nombre es obligatorio</t>
        </is>
      </c>
      <c r="K25" s="5" t="inlineStr">
        <is>
          <t>Según lo esperado</t>
        </is>
      </c>
      <c r="L25" s="6" t="inlineStr">
        <is>
          <t>Aprobado</t>
        </is>
      </c>
      <c r="M25" s="5" t="inlineStr">
        <is>
          <t>2026-10-10</t>
        </is>
      </c>
      <c r="N25" s="5" t="inlineStr">
        <is>
          <t>katalon/evidencias/ · Excel (hoja Casos de Prueba Detallado)</t>
        </is>
      </c>
      <c r="O25" s="5" t="inlineStr">
        <is>
          <t>-</t>
        </is>
      </c>
    </row>
    <row r="26">
      <c r="A26" s="5" t="inlineStr">
        <is>
          <t>HU-23</t>
        </is>
      </c>
      <c r="B26" s="5" t="inlineStr">
        <is>
          <t>Crear bolsillo</t>
        </is>
      </c>
      <c r="C26" s="5" t="inlineStr">
        <is>
          <t>ESC033</t>
        </is>
      </c>
      <c r="D26" s="5" t="inlineStr">
        <is>
          <t>TC-110</t>
        </is>
      </c>
      <c r="E26" s="5" t="inlineStr">
        <is>
          <t>Nombre solo espacios</t>
        </is>
      </c>
      <c r="F26" s="5" t="inlineStr">
        <is>
          <t>Unitaria</t>
        </is>
      </c>
      <c r="G26" s="5" t="inlineStr">
        <is>
          <t>Funcional</t>
        </is>
      </c>
      <c r="H26" s="5" t="inlineStr">
        <is>
          <t>Manual (caja negra) + Katalon Recorder</t>
        </is>
      </c>
      <c r="I26" s="5" t="inlineStr">
        <is>
          <t>Casos y Escenarios FuBank.xlsx · katalon/casos</t>
        </is>
      </c>
      <c r="J26" s="5" t="inlineStr">
        <is>
          <t>Se intenta crear con un nombre compuesto solo por espacios; el sistema lo rechaza</t>
        </is>
      </c>
      <c r="K26" s="5" t="inlineStr">
        <is>
          <t>Según lo esperado</t>
        </is>
      </c>
      <c r="L26" s="6" t="inlineStr">
        <is>
          <t>Aprobado</t>
        </is>
      </c>
      <c r="M26" s="5" t="inlineStr">
        <is>
          <t>2026-10-10</t>
        </is>
      </c>
      <c r="N26" s="5" t="inlineStr">
        <is>
          <t>katalon/evidencias/ · Excel (hoja Casos de Prueba Detallado)</t>
        </is>
      </c>
      <c r="O26" s="5" t="inlineStr">
        <is>
          <t>DEF-001 (corregido)</t>
        </is>
      </c>
    </row>
    <row r="27">
      <c r="A27" s="5" t="inlineStr">
        <is>
          <t>HU-23</t>
        </is>
      </c>
      <c r="B27" s="5" t="inlineStr">
        <is>
          <t>Crear bolsillo</t>
        </is>
      </c>
      <c r="C27" s="5" t="inlineStr">
        <is>
          <t>ESC033</t>
        </is>
      </c>
      <c r="D27" s="5" t="inlineStr">
        <is>
          <t>TC-111</t>
        </is>
      </c>
      <c r="E27" s="5" t="inlineStr">
        <is>
          <t>Nombre excede 150 caracteres</t>
        </is>
      </c>
      <c r="F27" s="5" t="inlineStr">
        <is>
          <t>Unitaria</t>
        </is>
      </c>
      <c r="G27" s="5" t="inlineStr">
        <is>
          <t>Funcional</t>
        </is>
      </c>
      <c r="H27" s="5" t="inlineStr">
        <is>
          <t>Manual (caja negra) + Katalon Recorder</t>
        </is>
      </c>
      <c r="I27" s="5" t="inlineStr">
        <is>
          <t>Casos y Escenarios FuBank.xlsx · katalon/casos</t>
        </is>
      </c>
      <c r="J27" s="5" t="inlineStr">
        <is>
          <t>Se intenta crear con un nombre de más de 150 caracteres; el sistema lo rechaza (máx 150)</t>
        </is>
      </c>
      <c r="K27" s="5" t="inlineStr">
        <is>
          <t>Según lo esperado</t>
        </is>
      </c>
      <c r="L27" s="6" t="inlineStr">
        <is>
          <t>Aprobado</t>
        </is>
      </c>
      <c r="M27" s="5" t="inlineStr">
        <is>
          <t>2026-10-10</t>
        </is>
      </c>
      <c r="N27" s="5" t="inlineStr">
        <is>
          <t>katalon/evidencias/ · Excel (hoja Casos de Prueba Detallado)</t>
        </is>
      </c>
      <c r="O27" s="5" t="inlineStr">
        <is>
          <t>-</t>
        </is>
      </c>
    </row>
    <row r="28">
      <c r="A28" s="5" t="inlineStr">
        <is>
          <t>HU-23</t>
        </is>
      </c>
      <c r="B28" s="5" t="inlineStr">
        <is>
          <t>Crear bolsillo</t>
        </is>
      </c>
      <c r="C28" s="5" t="inlineStr">
        <is>
          <t>01 Crear bolsillo</t>
        </is>
      </c>
      <c r="D28" s="5" t="inlineStr">
        <is>
          <t>PM-CB-01</t>
        </is>
      </c>
      <c r="E28" s="5" t="inlineStr">
        <is>
          <t>Crear "Vacaciones" con 100.000</t>
        </is>
      </c>
      <c r="F28" s="5" t="inlineStr">
        <is>
          <t>Integración (API)</t>
        </is>
      </c>
      <c r="G28" s="5" t="inlineStr">
        <is>
          <t>Funcional</t>
        </is>
      </c>
      <c r="H28" s="5" t="inlineStr">
        <is>
          <t>Postman + Newman (herramienta IA 2)</t>
        </is>
      </c>
      <c r="I28" s="5" t="inlineStr">
        <is>
          <t>02-postman-postbot/FuBanking-Bolsillos.postman_collection.json</t>
        </is>
      </c>
      <c r="J28" s="5" t="inlineStr">
        <is>
          <t>201 y el saldo de la cuenta baja de 500.000 a 400.000.</t>
        </is>
      </c>
      <c r="K28" s="5" t="inlineStr">
        <is>
          <t>6/6 aserciones correctas</t>
        </is>
      </c>
      <c r="L28" s="6" t="inlineStr">
        <is>
          <t>Aprobado</t>
        </is>
      </c>
      <c r="M28" s="5" t="inlineStr">
        <is>
          <t>2026-10-26</t>
        </is>
      </c>
      <c r="N28" s="5" t="inlineStr">
        <is>
          <t>02-postman-postbot/evidence/newman-report.html</t>
        </is>
      </c>
      <c r="O28" s="5" t="inlineStr">
        <is>
          <t>-</t>
        </is>
      </c>
    </row>
    <row r="29">
      <c r="A29" s="5" t="inlineStr">
        <is>
          <t>HU-23</t>
        </is>
      </c>
      <c r="B29" s="5" t="inlineStr">
        <is>
          <t>Crear bolsillo</t>
        </is>
      </c>
      <c r="C29" s="5" t="inlineStr">
        <is>
          <t>01 Crear bolsillo</t>
        </is>
      </c>
      <c r="D29" s="5" t="inlineStr">
        <is>
          <t>PM-CB-02</t>
        </is>
      </c>
      <c r="E29" s="5" t="inlineStr">
        <is>
          <t>Crear "Mercado" con 50.000</t>
        </is>
      </c>
      <c r="F29" s="5" t="inlineStr">
        <is>
          <t>Integración (API)</t>
        </is>
      </c>
      <c r="G29" s="5" t="inlineStr">
        <is>
          <t>Funcional</t>
        </is>
      </c>
      <c r="H29" s="5" t="inlineStr">
        <is>
          <t>Postman + Newman (herramienta IA 2)</t>
        </is>
      </c>
      <c r="I29" s="5" t="inlineStr">
        <is>
          <t>02-postman-postbot/FuBanking-Bolsillos.postman_collection.json</t>
        </is>
      </c>
      <c r="J29" s="5" t="inlineStr">
        <is>
          <t>201 y saldo 350.000.</t>
        </is>
      </c>
      <c r="K29" s="5" t="inlineStr">
        <is>
          <t>4/4 aserciones correctas</t>
        </is>
      </c>
      <c r="L29" s="6" t="inlineStr">
        <is>
          <t>Aprobado</t>
        </is>
      </c>
      <c r="M29" s="5" t="inlineStr">
        <is>
          <t>2026-10-26</t>
        </is>
      </c>
      <c r="N29" s="5" t="inlineStr">
        <is>
          <t>02-postman-postbot/evidence/newman-report.html</t>
        </is>
      </c>
      <c r="O29" s="5" t="inlineStr">
        <is>
          <t>-</t>
        </is>
      </c>
    </row>
    <row r="30">
      <c r="A30" s="5" t="inlineStr">
        <is>
          <t>HU-23</t>
        </is>
      </c>
      <c r="B30" s="5" t="inlineStr">
        <is>
          <t>Crear bolsillo</t>
        </is>
      </c>
      <c r="C30" s="5" t="inlineStr">
        <is>
          <t>01 Crear bolsillo</t>
        </is>
      </c>
      <c r="D30" s="5" t="inlineStr">
        <is>
          <t>PM-CB-03</t>
        </is>
      </c>
      <c r="E30" s="5" t="inlineStr">
        <is>
          <t>Rechazar nombre vacío</t>
        </is>
      </c>
      <c r="F30" s="5" t="inlineStr">
        <is>
          <t>Integración (API)</t>
        </is>
      </c>
      <c r="G30" s="5" t="inlineStr">
        <is>
          <t>Funcional</t>
        </is>
      </c>
      <c r="H30" s="5" t="inlineStr">
        <is>
          <t>Postman + Newman (herramienta IA 2)</t>
        </is>
      </c>
      <c r="I30" s="5" t="inlineStr">
        <is>
          <t>02-postman-postbot/FuBanking-Bolsillos.postman_collection.json</t>
        </is>
      </c>
      <c r="J30" s="5" t="inlineStr">
        <is>
          <t>400 VALIDATION_ERROR y el saldo no cambia.</t>
        </is>
      </c>
      <c r="K30" s="5" t="inlineStr">
        <is>
          <t>5/5 aserciones correctas</t>
        </is>
      </c>
      <c r="L30" s="6" t="inlineStr">
        <is>
          <t>Aprobado</t>
        </is>
      </c>
      <c r="M30" s="5" t="inlineStr">
        <is>
          <t>2026-10-26</t>
        </is>
      </c>
      <c r="N30" s="5" t="inlineStr">
        <is>
          <t>02-postman-postbot/evidence/newman-report.html</t>
        </is>
      </c>
      <c r="O30" s="5" t="inlineStr">
        <is>
          <t>-</t>
        </is>
      </c>
    </row>
    <row r="31">
      <c r="A31" s="5" t="inlineStr">
        <is>
          <t>HU-23</t>
        </is>
      </c>
      <c r="B31" s="5" t="inlineStr">
        <is>
          <t>Crear bolsillo</t>
        </is>
      </c>
      <c r="C31" s="5" t="inlineStr">
        <is>
          <t>01 Crear bolsillo</t>
        </is>
      </c>
      <c r="D31" s="5" t="inlineStr">
        <is>
          <t>PM-CB-04</t>
        </is>
      </c>
      <c r="E31" s="5" t="inlineStr">
        <is>
          <t>Rechazar nombre de solo espacios (DEF-001)</t>
        </is>
      </c>
      <c r="F31" s="5" t="inlineStr">
        <is>
          <t>Integración (API)</t>
        </is>
      </c>
      <c r="G31" s="5" t="inlineStr">
        <is>
          <t>Funcional</t>
        </is>
      </c>
      <c r="H31" s="5" t="inlineStr">
        <is>
          <t>Postman + Newman (herramienta IA 2)</t>
        </is>
      </c>
      <c r="I31" s="5" t="inlineStr">
        <is>
          <t>02-postman-postbot/FuBanking-Bolsillos.postman_collection.json</t>
        </is>
      </c>
      <c r="J31" s="5" t="inlineStr">
        <is>
          <t>400 INVALID_POCKET_NAME antes de tocar el saldo.</t>
        </is>
      </c>
      <c r="K31" s="5" t="inlineStr">
        <is>
          <t>5/5 aserciones correctas</t>
        </is>
      </c>
      <c r="L31" s="6" t="inlineStr">
        <is>
          <t>Aprobado</t>
        </is>
      </c>
      <c r="M31" s="5" t="inlineStr">
        <is>
          <t>2026-10-26</t>
        </is>
      </c>
      <c r="N31" s="5" t="inlineStr">
        <is>
          <t>02-postman-postbot/evidence/newman-report.html</t>
        </is>
      </c>
      <c r="O31" s="5" t="inlineStr">
        <is>
          <t>-</t>
        </is>
      </c>
    </row>
    <row r="32">
      <c r="A32" s="5" t="inlineStr">
        <is>
          <t>HU-23</t>
        </is>
      </c>
      <c r="B32" s="5" t="inlineStr">
        <is>
          <t>Crear bolsillo</t>
        </is>
      </c>
      <c r="C32" s="5" t="inlineStr">
        <is>
          <t>01 Crear bolsillo</t>
        </is>
      </c>
      <c r="D32" s="5" t="inlineStr">
        <is>
          <t>PM-CB-05</t>
        </is>
      </c>
      <c r="E32" s="5" t="inlineStr">
        <is>
          <t>Rechazar monto negativo</t>
        </is>
      </c>
      <c r="F32" s="5" t="inlineStr">
        <is>
          <t>Integración (API)</t>
        </is>
      </c>
      <c r="G32" s="5" t="inlineStr">
        <is>
          <t>Funcional</t>
        </is>
      </c>
      <c r="H32" s="5" t="inlineStr">
        <is>
          <t>Postman + Newman (herramienta IA 2)</t>
        </is>
      </c>
      <c r="I32" s="5" t="inlineStr">
        <is>
          <t>02-postman-postbot/FuBanking-Bolsillos.postman_collection.json</t>
        </is>
      </c>
      <c r="J32" s="5" t="inlineStr">
        <is>
          <t>400 VALIDATION_ERROR.</t>
        </is>
      </c>
      <c r="K32" s="5" t="inlineStr">
        <is>
          <t>4/4 aserciones correctas</t>
        </is>
      </c>
      <c r="L32" s="6" t="inlineStr">
        <is>
          <t>Aprobado</t>
        </is>
      </c>
      <c r="M32" s="5" t="inlineStr">
        <is>
          <t>2026-10-26</t>
        </is>
      </c>
      <c r="N32" s="5" t="inlineStr">
        <is>
          <t>02-postman-postbot/evidence/newman-report.html</t>
        </is>
      </c>
      <c r="O32" s="5" t="inlineStr">
        <is>
          <t>-</t>
        </is>
      </c>
    </row>
    <row r="33">
      <c r="A33" s="5" t="inlineStr">
        <is>
          <t>HU-23</t>
        </is>
      </c>
      <c r="B33" s="5" t="inlineStr">
        <is>
          <t>Crear bolsillo</t>
        </is>
      </c>
      <c r="C33" s="5" t="inlineStr">
        <is>
          <t>01 Crear bolsillo</t>
        </is>
      </c>
      <c r="D33" s="5" t="inlineStr">
        <is>
          <t>PM-CB-06</t>
        </is>
      </c>
      <c r="E33" s="5" t="inlineStr">
        <is>
          <t>Rechazar monto mayor al saldo</t>
        </is>
      </c>
      <c r="F33" s="5" t="inlineStr">
        <is>
          <t>Integración (API)</t>
        </is>
      </c>
      <c r="G33" s="5" t="inlineStr">
        <is>
          <t>Funcional</t>
        </is>
      </c>
      <c r="H33" s="5" t="inlineStr">
        <is>
          <t>Postman + Newman (herramienta IA 2)</t>
        </is>
      </c>
      <c r="I33" s="5" t="inlineStr">
        <is>
          <t>02-postman-postbot/FuBanking-Bolsillos.postman_collection.json</t>
        </is>
      </c>
      <c r="J33" s="5" t="inlineStr">
        <is>
          <t>400 INSUFFICIENT_AVAILABLE_BALANCE.</t>
        </is>
      </c>
      <c r="K33" s="5" t="inlineStr">
        <is>
          <t>5/5 aserciones correctas</t>
        </is>
      </c>
      <c r="L33" s="6" t="inlineStr">
        <is>
          <t>Aprobado</t>
        </is>
      </c>
      <c r="M33" s="5" t="inlineStr">
        <is>
          <t>2026-10-26</t>
        </is>
      </c>
      <c r="N33" s="5" t="inlineStr">
        <is>
          <t>02-postman-postbot/evidence/newman-report.html</t>
        </is>
      </c>
      <c r="O33" s="5" t="inlineStr">
        <is>
          <t>-</t>
        </is>
      </c>
    </row>
    <row r="34">
      <c r="A34" s="5" t="inlineStr">
        <is>
          <t>HU-23</t>
        </is>
      </c>
      <c r="B34" s="5" t="inlineStr">
        <is>
          <t>Crear bolsillo</t>
        </is>
      </c>
      <c r="C34" s="5" t="inlineStr">
        <is>
          <t>01 Crear bolsillo</t>
        </is>
      </c>
      <c r="D34" s="5" t="inlineStr">
        <is>
          <t>PM-CB-07</t>
        </is>
      </c>
      <c r="E34" s="5" t="inlineStr">
        <is>
          <t>Rechazar petición sin token</t>
        </is>
      </c>
      <c r="F34" s="5" t="inlineStr">
        <is>
          <t>Integración (API)</t>
        </is>
      </c>
      <c r="G34" s="5" t="inlineStr">
        <is>
          <t>Seguridad</t>
        </is>
      </c>
      <c r="H34" s="5" t="inlineStr">
        <is>
          <t>Postman + Newman (herramienta IA 2)</t>
        </is>
      </c>
      <c r="I34" s="5" t="inlineStr">
        <is>
          <t>02-postman-postbot/FuBanking-Bolsillos.postman_collection.json</t>
        </is>
      </c>
      <c r="J34" s="5" t="inlineStr">
        <is>
          <t>401 UNAUTHORIZED.</t>
        </is>
      </c>
      <c r="K34" s="5" t="inlineStr">
        <is>
          <t>4/4 aserciones correctas</t>
        </is>
      </c>
      <c r="L34" s="6" t="inlineStr">
        <is>
          <t>Aprobado</t>
        </is>
      </c>
      <c r="M34" s="5" t="inlineStr">
        <is>
          <t>2026-10-26</t>
        </is>
      </c>
      <c r="N34" s="5" t="inlineStr">
        <is>
          <t>02-postman-postbot/evidence/newman-report.html</t>
        </is>
      </c>
      <c r="O34" s="5" t="inlineStr">
        <is>
          <t>-</t>
        </is>
      </c>
    </row>
    <row r="35">
      <c r="A35" s="5" t="inlineStr">
        <is>
          <t>HU-23</t>
        </is>
      </c>
      <c r="B35" s="5" t="inlineStr">
        <is>
          <t>Crear bolsillo</t>
        </is>
      </c>
      <c r="C35" s="5" t="inlineStr">
        <is>
          <t>crear_bolsillo.feature</t>
        </is>
      </c>
      <c r="D35" s="5" t="inlineStr">
        <is>
          <t>SJ-CRE-01</t>
        </is>
      </c>
      <c r="E35" s="5" t="inlineStr">
        <is>
          <t>Crear un bolsillo descuenta el monto del saldo de la cuenta</t>
        </is>
      </c>
      <c r="F35" s="5" t="inlineStr">
        <is>
          <t>Integración (API)</t>
        </is>
      </c>
      <c r="G35" s="5" t="inlineStr">
        <is>
          <t>Funcional</t>
        </is>
      </c>
      <c r="H35" s="5" t="inlineStr">
        <is>
          <t>Serenity/JS Screenplay + Gherkin</t>
        </is>
      </c>
      <c r="I35" s="5" t="inlineStr">
        <is>
          <t>e2e/serenity/features/crear_bolsillo.feature</t>
        </is>
      </c>
      <c r="J35" s="5" t="inlineStr">
        <is>
          <t>la respuesta HTTP tiene estado 201; el saldo de su cuenta es 400000</t>
        </is>
      </c>
      <c r="K35" s="5" t="inlineStr">
        <is>
          <t>Todos los pasos pasaron</t>
        </is>
      </c>
      <c r="L35" s="6" t="inlineStr">
        <is>
          <t>Aprobado</t>
        </is>
      </c>
      <c r="M35" s="5" t="inlineStr">
        <is>
          <t>2026-10-26</t>
        </is>
      </c>
      <c r="N35" s="5" t="inlineStr">
        <is>
          <t>e2e/serenity/reports/serenity-js (HTML)</t>
        </is>
      </c>
      <c r="O35" s="5" t="inlineStr">
        <is>
          <t>-</t>
        </is>
      </c>
    </row>
    <row r="36">
      <c r="A36" s="5" t="inlineStr">
        <is>
          <t>HU-23</t>
        </is>
      </c>
      <c r="B36" s="5" t="inlineStr">
        <is>
          <t>Crear bolsillo</t>
        </is>
      </c>
      <c r="C36" s="5" t="inlineStr">
        <is>
          <t>crear_bolsillo.feature</t>
        </is>
      </c>
      <c r="D36" s="5" t="inlineStr">
        <is>
          <t>SJ-CRE-02</t>
        </is>
      </c>
      <c r="E36" s="5" t="inlineStr">
        <is>
          <t>Se puede apartar todo el saldo disponible</t>
        </is>
      </c>
      <c r="F36" s="5" t="inlineStr">
        <is>
          <t>Integración (API)</t>
        </is>
      </c>
      <c r="G36" s="5" t="inlineStr">
        <is>
          <t>Funcional</t>
        </is>
      </c>
      <c r="H36" s="5" t="inlineStr">
        <is>
          <t>Serenity/JS Screenplay + Gherkin</t>
        </is>
      </c>
      <c r="I36" s="5" t="inlineStr">
        <is>
          <t>e2e/serenity/features/crear_bolsillo.feature</t>
        </is>
      </c>
      <c r="J36" s="5" t="inlineStr">
        <is>
          <t>la respuesta HTTP tiene estado 201; el saldo de su cuenta es 0</t>
        </is>
      </c>
      <c r="K36" s="5" t="inlineStr">
        <is>
          <t>Todos los pasos pasaron</t>
        </is>
      </c>
      <c r="L36" s="6" t="inlineStr">
        <is>
          <t>Aprobado</t>
        </is>
      </c>
      <c r="M36" s="5" t="inlineStr">
        <is>
          <t>2026-10-26</t>
        </is>
      </c>
      <c r="N36" s="5" t="inlineStr">
        <is>
          <t>e2e/serenity/reports/serenity-js (HTML)</t>
        </is>
      </c>
      <c r="O36" s="5" t="inlineStr">
        <is>
          <t>-</t>
        </is>
      </c>
    </row>
    <row r="37">
      <c r="A37" s="5" t="inlineStr">
        <is>
          <t>HU-23</t>
        </is>
      </c>
      <c r="B37" s="5" t="inlineStr">
        <is>
          <t>Crear bolsillo</t>
        </is>
      </c>
      <c r="C37" s="5" t="inlineStr">
        <is>
          <t>crear_bolsillo.feature</t>
        </is>
      </c>
      <c r="D37" s="5" t="inlineStr">
        <is>
          <t>SJ-CRE-03</t>
        </is>
      </c>
      <c r="E37" s="5" t="inlineStr">
        <is>
          <t>Rechazar un bolsillo con nombre vacío</t>
        </is>
      </c>
      <c r="F37" s="5" t="inlineStr">
        <is>
          <t>Integración (API)</t>
        </is>
      </c>
      <c r="G37" s="5" t="inlineStr">
        <is>
          <t>Funcional</t>
        </is>
      </c>
      <c r="H37" s="5" t="inlineStr">
        <is>
          <t>Serenity/JS Screenplay + Gherkin</t>
        </is>
      </c>
      <c r="I37" s="5" t="inlineStr">
        <is>
          <t>e2e/serenity/features/crear_bolsillo.feature</t>
        </is>
      </c>
      <c r="J37" s="5" t="inlineStr">
        <is>
          <t>la respuesta HTTP tiene estado 400; el código de error es "VALIDATION_ERROR"; el saldo de su cuenta es 500000</t>
        </is>
      </c>
      <c r="K37" s="5" t="inlineStr">
        <is>
          <t>Todos los pasos pasaron</t>
        </is>
      </c>
      <c r="L37" s="6" t="inlineStr">
        <is>
          <t>Aprobado</t>
        </is>
      </c>
      <c r="M37" s="5" t="inlineStr">
        <is>
          <t>2026-10-26</t>
        </is>
      </c>
      <c r="N37" s="5" t="inlineStr">
        <is>
          <t>e2e/serenity/reports/serenity-js (HTML)</t>
        </is>
      </c>
      <c r="O37" s="5" t="inlineStr">
        <is>
          <t>-</t>
        </is>
      </c>
    </row>
    <row r="38">
      <c r="A38" s="5" t="inlineStr">
        <is>
          <t>HU-23</t>
        </is>
      </c>
      <c r="B38" s="5" t="inlineStr">
        <is>
          <t>Crear bolsillo</t>
        </is>
      </c>
      <c r="C38" s="5" t="inlineStr">
        <is>
          <t>crear_bolsillo.feature</t>
        </is>
      </c>
      <c r="D38" s="5" t="inlineStr">
        <is>
          <t>SJ-CRE-04</t>
        </is>
      </c>
      <c r="E38" s="5" t="inlineStr">
        <is>
          <t>Rechazar un bolsillo con monto negativo</t>
        </is>
      </c>
      <c r="F38" s="5" t="inlineStr">
        <is>
          <t>Integración (API)</t>
        </is>
      </c>
      <c r="G38" s="5" t="inlineStr">
        <is>
          <t>Funcional</t>
        </is>
      </c>
      <c r="H38" s="5" t="inlineStr">
        <is>
          <t>Serenity/JS Screenplay + Gherkin</t>
        </is>
      </c>
      <c r="I38" s="5" t="inlineStr">
        <is>
          <t>e2e/serenity/features/crear_bolsillo.feature</t>
        </is>
      </c>
      <c r="J38" s="5" t="inlineStr">
        <is>
          <t>la respuesta HTTP tiene estado 400; el código de error es "VALIDATION_ERROR"; el saldo de su cuenta es 500000</t>
        </is>
      </c>
      <c r="K38" s="5" t="inlineStr">
        <is>
          <t>Todos los pasos pasaron</t>
        </is>
      </c>
      <c r="L38" s="6" t="inlineStr">
        <is>
          <t>Aprobado</t>
        </is>
      </c>
      <c r="M38" s="5" t="inlineStr">
        <is>
          <t>2026-10-26</t>
        </is>
      </c>
      <c r="N38" s="5" t="inlineStr">
        <is>
          <t>e2e/serenity/reports/serenity-js (HTML)</t>
        </is>
      </c>
      <c r="O38" s="5" t="inlineStr">
        <is>
          <t>-</t>
        </is>
      </c>
    </row>
    <row r="39">
      <c r="A39" s="5" t="inlineStr">
        <is>
          <t>HU-23</t>
        </is>
      </c>
      <c r="B39" s="5" t="inlineStr">
        <is>
          <t>Crear bolsillo</t>
        </is>
      </c>
      <c r="C39" s="5" t="inlineStr">
        <is>
          <t>crear_bolsillo.feature</t>
        </is>
      </c>
      <c r="D39" s="5" t="inlineStr">
        <is>
          <t>SJ-CRE-05</t>
        </is>
      </c>
      <c r="E39" s="5" t="inlineStr">
        <is>
          <t>Rechazar un bolsillo con monto mayor al saldo</t>
        </is>
      </c>
      <c r="F39" s="5" t="inlineStr">
        <is>
          <t>Integración (API)</t>
        </is>
      </c>
      <c r="G39" s="5" t="inlineStr">
        <is>
          <t>Funcional</t>
        </is>
      </c>
      <c r="H39" s="5" t="inlineStr">
        <is>
          <t>Serenity/JS Screenplay + Gherkin</t>
        </is>
      </c>
      <c r="I39" s="5" t="inlineStr">
        <is>
          <t>e2e/serenity/features/crear_bolsillo.feature</t>
        </is>
      </c>
      <c r="J39" s="5" t="inlineStr">
        <is>
          <t>la respuesta HTTP tiene estado 400; el código de error es "INSUFFICIENT_AVAILABLE_BALANCE"; el saldo de su cuenta es 500000</t>
        </is>
      </c>
      <c r="K39" s="5" t="inlineStr">
        <is>
          <t>Todos los pasos pasaron</t>
        </is>
      </c>
      <c r="L39" s="6" t="inlineStr">
        <is>
          <t>Aprobado</t>
        </is>
      </c>
      <c r="M39" s="5" t="inlineStr">
        <is>
          <t>2026-10-26</t>
        </is>
      </c>
      <c r="N39" s="5" t="inlineStr">
        <is>
          <t>e2e/serenity/reports/serenity-js (HTML)</t>
        </is>
      </c>
      <c r="O39" s="5" t="inlineStr">
        <is>
          <t>-</t>
        </is>
      </c>
    </row>
    <row r="40">
      <c r="A40" s="5" t="inlineStr">
        <is>
          <t>HU-23</t>
        </is>
      </c>
      <c r="B40" s="5" t="inlineStr">
        <is>
          <t>Crear bolsillo</t>
        </is>
      </c>
      <c r="C40" s="5" t="inlineStr">
        <is>
          <t>crear_bolsillo.feature</t>
        </is>
      </c>
      <c r="D40" s="5" t="inlineStr">
        <is>
          <t>SJ-CRE-06</t>
        </is>
      </c>
      <c r="E40" s="5" t="inlineStr">
        <is>
          <t>Crear un bolsillo desde la pantalla de bolsillos</t>
        </is>
      </c>
      <c r="F40" s="5" t="inlineStr">
        <is>
          <t>Sistema (E2E UI)</t>
        </is>
      </c>
      <c r="G40" s="5" t="inlineStr">
        <is>
          <t>Funcional</t>
        </is>
      </c>
      <c r="H40" s="5" t="inlineStr">
        <is>
          <t>Serenity/JS Screenplay + Gherkin</t>
        </is>
      </c>
      <c r="I40" s="5" t="inlineStr">
        <is>
          <t>e2e/serenity/features/crear_bolsillo.feature</t>
        </is>
      </c>
      <c r="J40" s="5" t="inlineStr">
        <is>
          <t>ella ve la notificación "Bolsillo creado"; ella ve el bolsillo "Vacaciones" con 100000; el saldo de su cuenta es 400000</t>
        </is>
      </c>
      <c r="K40" s="5" t="inlineStr">
        <is>
          <t>Todos los pasos pasaron</t>
        </is>
      </c>
      <c r="L40" s="6" t="inlineStr">
        <is>
          <t>Aprobado</t>
        </is>
      </c>
      <c r="M40" s="5" t="inlineStr">
        <is>
          <t>2026-10-26</t>
        </is>
      </c>
      <c r="N40" s="5" t="inlineStr">
        <is>
          <t>e2e/serenity/reports/serenity-js (HTML)</t>
        </is>
      </c>
      <c r="O40" s="5" t="inlineStr">
        <is>
          <t>-</t>
        </is>
      </c>
    </row>
    <row r="41">
      <c r="A41" s="5" t="inlineStr">
        <is>
          <t>HU-23</t>
        </is>
      </c>
      <c r="B41" s="5" t="inlineStr">
        <is>
          <t>Crear bolsillo</t>
        </is>
      </c>
      <c r="C41" s="5" t="inlineStr">
        <is>
          <t>crear_bolsillo.feature</t>
        </is>
      </c>
      <c r="D41" s="5" t="inlineStr">
        <is>
          <t>SJ-CRE-07</t>
        </is>
      </c>
      <c r="E41" s="5" t="inlineStr">
        <is>
          <t>La pantalla pide el nombre antes de crear el bolsillo</t>
        </is>
      </c>
      <c r="F41" s="5" t="inlineStr">
        <is>
          <t>Sistema (E2E UI)</t>
        </is>
      </c>
      <c r="G41" s="5" t="inlineStr">
        <is>
          <t>Funcional</t>
        </is>
      </c>
      <c r="H41" s="5" t="inlineStr">
        <is>
          <t>Serenity/JS Screenplay + Gherkin</t>
        </is>
      </c>
      <c r="I41" s="5" t="inlineStr">
        <is>
          <t>e2e/serenity/features/crear_bolsillo.feature</t>
        </is>
      </c>
      <c r="J41" s="5" t="inlineStr">
        <is>
          <t>ella ve la notificación "Falta información"; el saldo de su cuenta es 500000</t>
        </is>
      </c>
      <c r="K41" s="5" t="inlineStr">
        <is>
          <t>Todos los pasos pasaron</t>
        </is>
      </c>
      <c r="L41" s="6" t="inlineStr">
        <is>
          <t>Aprobado</t>
        </is>
      </c>
      <c r="M41" s="5" t="inlineStr">
        <is>
          <t>2026-10-26</t>
        </is>
      </c>
      <c r="N41" s="5" t="inlineStr">
        <is>
          <t>e2e/serenity/reports/serenity-js (HTML)</t>
        </is>
      </c>
      <c r="O41" s="5" t="inlineStr">
        <is>
          <t>-</t>
        </is>
      </c>
    </row>
    <row r="42">
      <c r="A42" s="5" t="inlineStr">
        <is>
          <t>HU-23</t>
        </is>
      </c>
      <c r="B42" s="5" t="inlineStr">
        <is>
          <t>Crear bolsillo</t>
        </is>
      </c>
      <c r="C42" s="5" t="inlineStr">
        <is>
          <t>Stagehand + Claude</t>
        </is>
      </c>
      <c r="D42" s="5" t="inlineStr">
        <is>
          <t>SH-B01</t>
        </is>
      </c>
      <c r="E42" s="5" t="inlineStr">
        <is>
          <t>La IA crea un bolsillo desde la pantalla siguiendo instrucciones en lenguaje natural. (act + extract + observe)</t>
        </is>
      </c>
      <c r="F42" s="5" t="inlineStr">
        <is>
          <t>Sistema (E2E UI con IA)</t>
        </is>
      </c>
      <c r="G42" s="5" t="inlineStr">
        <is>
          <t>Funcional</t>
        </is>
      </c>
      <c r="H42" s="5" t="inlineStr">
        <is>
          <t>Stagehand (act/observe/extract)</t>
        </is>
      </c>
      <c r="I42" s="5" t="inlineStr">
        <is>
          <t>e2e/stagehand/src/bolsillos/scenarios.ts</t>
        </is>
      </c>
      <c r="J42" s="5" t="inlineStr">
        <is>
          <t>Toast "Bolsillo creado", tarjeta "Vacaciones" con 100.000 y saldo de la cuenta en 400.000 (de 500.000).</t>
        </is>
      </c>
      <c r="K42" s="5" t="inlineStr">
        <is>
          <t>5/5 validaciones correctas</t>
        </is>
      </c>
      <c r="L42" s="6" t="inlineStr">
        <is>
          <t>Aprobado</t>
        </is>
      </c>
      <c r="M42" s="5" t="inlineStr">
        <is>
          <t>2026-10-26</t>
        </is>
      </c>
      <c r="N42" s="5" t="inlineStr">
        <is>
          <t>e2e/stagehand/evidence/bolsillos/SH-B01-*.png · SH-B01-report.json</t>
        </is>
      </c>
      <c r="O42" s="5" t="inlineStr">
        <is>
          <t>-</t>
        </is>
      </c>
    </row>
    <row r="43">
      <c r="A43" s="5" t="inlineStr">
        <is>
          <t>HU-23</t>
        </is>
      </c>
      <c r="B43" s="5" t="inlineStr">
        <is>
          <t>Crear bolsillo</t>
        </is>
      </c>
      <c r="C43" s="5" t="inlineStr">
        <is>
          <t>Suite automatizada</t>
        </is>
      </c>
      <c r="D43" s="5" t="inlineStr">
        <is>
          <t>VT-CreatePocket</t>
        </is>
      </c>
      <c r="E43" s="5" t="inlineStr">
        <is>
          <t>CreatePocket.test.ts (12 pruebas)</t>
        </is>
      </c>
      <c r="F43" s="5" t="inlineStr">
        <is>
          <t>Unitaria / Integración</t>
        </is>
      </c>
      <c r="G43" s="5" t="inlineStr">
        <is>
          <t>Funcional (regresión)</t>
        </is>
      </c>
      <c r="H43" s="5" t="inlineStr">
        <is>
          <t>Vitest · regresión + unitarias (AAA, 5 dobles)</t>
        </is>
      </c>
      <c r="I43" s="5" t="inlineStr">
        <is>
          <t>CreatePocket.test.ts</t>
        </is>
      </c>
      <c r="J43" s="5" t="inlineStr">
        <is>
          <t>Todas las pruebas del archivo pasan (incluye `it.fails` de defectos abiertos)</t>
        </is>
      </c>
      <c r="K43" s="5" t="inlineStr">
        <is>
          <t>12/12 pasan</t>
        </is>
      </c>
      <c r="L43" s="6" t="inlineStr">
        <is>
          <t>Aprobado</t>
        </is>
      </c>
      <c r="M43" s="5" t="inlineStr">
        <is>
          <t>2026-10-26</t>
        </is>
      </c>
      <c r="N43" s="5" t="inlineStr">
        <is>
          <t>docs/evidencia-final-bolsillos/vitest-regresion.json</t>
        </is>
      </c>
      <c r="O43" s="5" t="inlineStr">
        <is>
          <t>-</t>
        </is>
      </c>
    </row>
    <row r="44">
      <c r="A44" s="5" t="inlineStr">
        <is>
          <t>HU-23</t>
        </is>
      </c>
      <c r="B44" s="5" t="inlineStr">
        <is>
          <t>Crear bolsillo</t>
        </is>
      </c>
      <c r="C44" s="5" t="inlineStr">
        <is>
          <t>Suite automatizada</t>
        </is>
      </c>
      <c r="D44" s="5" t="inlineStr">
        <is>
          <t>VT-crear</t>
        </is>
      </c>
      <c r="E44" s="5" t="inlineStr">
        <is>
          <t>crear.regression.test.ts (21 pruebas)</t>
        </is>
      </c>
      <c r="F44" s="5" t="inlineStr">
        <is>
          <t>Unitaria / Integración</t>
        </is>
      </c>
      <c r="G44" s="5" t="inlineStr">
        <is>
          <t>Funcional (regresión)</t>
        </is>
      </c>
      <c r="H44" s="5" t="inlineStr">
        <is>
          <t>Vitest · regresión + unitarias (AAA, 5 dobles)</t>
        </is>
      </c>
      <c r="I44" s="5" t="inlineStr">
        <is>
          <t>crear.regression.test.ts</t>
        </is>
      </c>
      <c r="J44" s="5" t="inlineStr">
        <is>
          <t>Todas las pruebas del archivo pasan (incluye `it.fails` de defectos abiertos)</t>
        </is>
      </c>
      <c r="K44" s="5" t="inlineStr">
        <is>
          <t>21/21 pasan</t>
        </is>
      </c>
      <c r="L44" s="6" t="inlineStr">
        <is>
          <t>Aprobado</t>
        </is>
      </c>
      <c r="M44" s="5" t="inlineStr">
        <is>
          <t>2026-10-26</t>
        </is>
      </c>
      <c r="N44" s="5" t="inlineStr">
        <is>
          <t>docs/evidencia-final-bolsillos/vitest-regresion.json</t>
        </is>
      </c>
      <c r="O44" s="5" t="inlineStr">
        <is>
          <t>-</t>
        </is>
      </c>
    </row>
    <row r="45">
      <c r="A45" s="5" t="inlineStr">
        <is>
          <t>HU-24</t>
        </is>
      </c>
      <c r="B45" s="5" t="inlineStr">
        <is>
          <t>Consultar bolsillos</t>
        </is>
      </c>
      <c r="C45" s="5" t="inlineStr">
        <is>
          <t>accesibilidad.feature</t>
        </is>
      </c>
      <c r="D45" s="5" t="inlineStr">
        <is>
          <t>CY-ACC-01</t>
        </is>
      </c>
      <c r="E45" s="5" t="inlineStr">
        <is>
          <t>La pantalla de bolsillos no tiene violaciones graves de accesibilidad</t>
        </is>
      </c>
      <c r="F45" s="5" t="inlineStr">
        <is>
          <t>Sistema (E2E UI)</t>
        </is>
      </c>
      <c r="G45" s="5" t="inlineStr">
        <is>
          <t>Accesibilidad</t>
        </is>
      </c>
      <c r="H45" s="5" t="inlineStr">
        <is>
          <t>Cypress + Gherkin (cucumber-preprocessor)</t>
        </is>
      </c>
      <c r="I45" s="5" t="inlineStr">
        <is>
          <t>e2e/serenity/features · cypress/bolsillos/features/accesibilidad.feature</t>
        </is>
      </c>
      <c r="J45" s="5" t="inlineStr">
        <is>
          <t>ella tiene el bolsillo "Vacaciones" con 100000; la pantalla no tiene violaciones de accesibilidad graves</t>
        </is>
      </c>
      <c r="K45" s="5" t="inlineStr">
        <is>
          <t>Todos los pasos pasaron</t>
        </is>
      </c>
      <c r="L45" s="6" t="inlineStr">
        <is>
          <t>Aprobado</t>
        </is>
      </c>
      <c r="M45" s="5" t="inlineStr">
        <is>
          <t>2026-10-26</t>
        </is>
      </c>
      <c r="N45" s="5" t="inlineStr">
        <is>
          <t>cypress/reports/bolsillos/cucumber-report.html</t>
        </is>
      </c>
      <c r="O45" s="5" t="inlineStr">
        <is>
          <t>-</t>
        </is>
      </c>
    </row>
    <row r="46">
      <c r="A46" s="5" t="inlineStr">
        <is>
          <t>HU-24</t>
        </is>
      </c>
      <c r="B46" s="5" t="inlineStr">
        <is>
          <t>Consultar bolsillos</t>
        </is>
      </c>
      <c r="C46" s="5" t="inlineStr">
        <is>
          <t>accesibilidad.feature</t>
        </is>
      </c>
      <c r="D46" s="5" t="inlineStr">
        <is>
          <t>CY-ACC-03</t>
        </is>
      </c>
      <c r="E46" s="5" t="inlineStr">
        <is>
          <t>La pantalla de cuentas no tiene violaciones graves de accesibilidad</t>
        </is>
      </c>
      <c r="F46" s="5" t="inlineStr">
        <is>
          <t>Sistema (E2E UI)</t>
        </is>
      </c>
      <c r="G46" s="5" t="inlineStr">
        <is>
          <t>Accesibilidad</t>
        </is>
      </c>
      <c r="H46" s="5" t="inlineStr">
        <is>
          <t>Cypress + Gherkin (cucumber-preprocessor)</t>
        </is>
      </c>
      <c r="I46" s="5" t="inlineStr">
        <is>
          <t>e2e/serenity/features · cypress/bolsillos/features/accesibilidad.feature</t>
        </is>
      </c>
      <c r="J46" s="5" t="inlineStr">
        <is>
          <t>ella tiene el bolsillo "Vacaciones" con 100000; la pantalla no tiene violaciones de accesibilidad graves</t>
        </is>
      </c>
      <c r="K46" s="5" t="inlineStr">
        <is>
          <t>Todos los pasos pasaron</t>
        </is>
      </c>
      <c r="L46" s="6" t="inlineStr">
        <is>
          <t>Aprobado</t>
        </is>
      </c>
      <c r="M46" s="5" t="inlineStr">
        <is>
          <t>2026-10-26</t>
        </is>
      </c>
      <c r="N46" s="5" t="inlineStr">
        <is>
          <t>cypress/reports/bolsillos/cucumber-report.html</t>
        </is>
      </c>
      <c r="O46" s="5" t="inlineStr">
        <is>
          <t>-</t>
        </is>
      </c>
    </row>
    <row r="47">
      <c r="A47" s="5" t="inlineStr">
        <is>
          <t>HU-24</t>
        </is>
      </c>
      <c r="B47" s="5" t="inlineStr">
        <is>
          <t>Consultar bolsillos</t>
        </is>
      </c>
      <c r="C47" s="5" t="inlineStr">
        <is>
          <t>consultar_bolsillos.feature</t>
        </is>
      </c>
      <c r="D47" s="5" t="inlineStr">
        <is>
          <t>CY-CON-01</t>
        </is>
      </c>
      <c r="E47" s="5" t="inlineStr">
        <is>
          <t>Consultar los bolsillos de la cuenta</t>
        </is>
      </c>
      <c r="F47" s="5" t="inlineStr">
        <is>
          <t>Integración (API)</t>
        </is>
      </c>
      <c r="G47" s="5" t="inlineStr">
        <is>
          <t>Funcional</t>
        </is>
      </c>
      <c r="H47" s="5" t="inlineStr">
        <is>
          <t>Cypress + Gherkin (cucumber-preprocessor)</t>
        </is>
      </c>
      <c r="I47" s="5" t="inlineStr">
        <is>
          <t>e2e/serenity/features · cypress/bolsillos/features/consultar_bolsillos.feature</t>
        </is>
      </c>
      <c r="J47" s="5" t="inlineStr">
        <is>
          <t>la respuesta HTTP tiene estado 200; la respuesta contiene 2 bolsillos</t>
        </is>
      </c>
      <c r="K47" s="5" t="inlineStr">
        <is>
          <t>Todos los pasos pasaron</t>
        </is>
      </c>
      <c r="L47" s="6" t="inlineStr">
        <is>
          <t>Aprobado</t>
        </is>
      </c>
      <c r="M47" s="5" t="inlineStr">
        <is>
          <t>2026-10-26</t>
        </is>
      </c>
      <c r="N47" s="5" t="inlineStr">
        <is>
          <t>cypress/reports/bolsillos/cucumber-report.html</t>
        </is>
      </c>
      <c r="O47" s="5" t="inlineStr">
        <is>
          <t>-</t>
        </is>
      </c>
    </row>
    <row r="48">
      <c r="A48" s="5" t="inlineStr">
        <is>
          <t>HU-24</t>
        </is>
      </c>
      <c r="B48" s="5" t="inlineStr">
        <is>
          <t>Consultar bolsillos</t>
        </is>
      </c>
      <c r="C48" s="5" t="inlineStr">
        <is>
          <t>consultar_bolsillos.feature</t>
        </is>
      </c>
      <c r="D48" s="5" t="inlineStr">
        <is>
          <t>CY-CON-02</t>
        </is>
      </c>
      <c r="E48" s="5" t="inlineStr">
        <is>
          <t>Una cuenta sin bolsillos devuelve una lista vacía</t>
        </is>
      </c>
      <c r="F48" s="5" t="inlineStr">
        <is>
          <t>Integración (API)</t>
        </is>
      </c>
      <c r="G48" s="5" t="inlineStr">
        <is>
          <t>Funcional</t>
        </is>
      </c>
      <c r="H48" s="5" t="inlineStr">
        <is>
          <t>Cypress + Gherkin (cucumber-preprocessor)</t>
        </is>
      </c>
      <c r="I48" s="5" t="inlineStr">
        <is>
          <t>e2e/serenity/features · cypress/bolsillos/features/consultar_bolsillos.feature</t>
        </is>
      </c>
      <c r="J48" s="5" t="inlineStr">
        <is>
          <t>la respuesta HTTP tiene estado 200; la respuesta contiene 0 bolsillos</t>
        </is>
      </c>
      <c r="K48" s="5" t="inlineStr">
        <is>
          <t>Todos los pasos pasaron</t>
        </is>
      </c>
      <c r="L48" s="6" t="inlineStr">
        <is>
          <t>Aprobado</t>
        </is>
      </c>
      <c r="M48" s="5" t="inlineStr">
        <is>
          <t>2026-10-26</t>
        </is>
      </c>
      <c r="N48" s="5" t="inlineStr">
        <is>
          <t>cypress/reports/bolsillos/cucumber-report.html</t>
        </is>
      </c>
      <c r="O48" s="5" t="inlineStr">
        <is>
          <t>-</t>
        </is>
      </c>
    </row>
    <row r="49">
      <c r="A49" s="5" t="inlineStr">
        <is>
          <t>HU-24</t>
        </is>
      </c>
      <c r="B49" s="5" t="inlineStr">
        <is>
          <t>Consultar bolsillos</t>
        </is>
      </c>
      <c r="C49" s="5" t="inlineStr">
        <is>
          <t>consultar_bolsillos.feature</t>
        </is>
      </c>
      <c r="D49" s="5" t="inlineStr">
        <is>
          <t>CY-CON-03</t>
        </is>
      </c>
      <c r="E49" s="5" t="inlineStr">
        <is>
          <t>No se pueden consultar los bolsillos de otro cliente</t>
        </is>
      </c>
      <c r="F49" s="5" t="inlineStr">
        <is>
          <t>Integración (API)</t>
        </is>
      </c>
      <c r="G49" s="5" t="inlineStr">
        <is>
          <t>Seguridad</t>
        </is>
      </c>
      <c r="H49" s="5" t="inlineStr">
        <is>
          <t>Cypress + Gherkin (cucumber-preprocessor)</t>
        </is>
      </c>
      <c r="I49" s="5" t="inlineStr">
        <is>
          <t>e2e/serenity/features · cypress/bolsillos/features/consultar_bolsillos.feature</t>
        </is>
      </c>
      <c r="J49" s="5" t="inlineStr">
        <is>
          <t>la respuesta HTTP tiene estado 403; el código de error es "FORBIDDEN"</t>
        </is>
      </c>
      <c r="K49" s="5" t="inlineStr">
        <is>
          <t>Todos los pasos pasaron</t>
        </is>
      </c>
      <c r="L49" s="6" t="inlineStr">
        <is>
          <t>Aprobado</t>
        </is>
      </c>
      <c r="M49" s="5" t="inlineStr">
        <is>
          <t>2026-10-26</t>
        </is>
      </c>
      <c r="N49" s="5" t="inlineStr">
        <is>
          <t>cypress/reports/bolsillos/cucumber-report.html</t>
        </is>
      </c>
      <c r="O49" s="5" t="inlineStr">
        <is>
          <t>-</t>
        </is>
      </c>
    </row>
    <row r="50">
      <c r="A50" s="5" t="inlineStr">
        <is>
          <t>HU-24</t>
        </is>
      </c>
      <c r="B50" s="5" t="inlineStr">
        <is>
          <t>Consultar bolsillos</t>
        </is>
      </c>
      <c r="C50" s="5" t="inlineStr">
        <is>
          <t>consultar_bolsillos.feature</t>
        </is>
      </c>
      <c r="D50" s="5" t="inlineStr">
        <is>
          <t>CY-CON-04</t>
        </is>
      </c>
      <c r="E50" s="5" t="inlineStr">
        <is>
          <t>Ver en pantalla los bolsillos de la cuenta</t>
        </is>
      </c>
      <c r="F50" s="5" t="inlineStr">
        <is>
          <t>Sistema (E2E UI)</t>
        </is>
      </c>
      <c r="G50" s="5" t="inlineStr">
        <is>
          <t>Funcional</t>
        </is>
      </c>
      <c r="H50" s="5" t="inlineStr">
        <is>
          <t>Cypress + Gherkin (cucumber-preprocessor)</t>
        </is>
      </c>
      <c r="I50" s="5" t="inlineStr">
        <is>
          <t>e2e/serenity/features · cypress/bolsillos/features/consultar_bolsillos.feature</t>
        </is>
      </c>
      <c r="J50" s="5" t="inlineStr">
        <is>
          <t>ella ve los bolsillos:; ella ve el bolsillo "Vacaciones" con 100000; ella ve el bolsillo "Mercado" con 50000</t>
        </is>
      </c>
      <c r="K50" s="5" t="inlineStr">
        <is>
          <t>Todos los pasos pasaron</t>
        </is>
      </c>
      <c r="L50" s="6" t="inlineStr">
        <is>
          <t>Aprobado</t>
        </is>
      </c>
      <c r="M50" s="5" t="inlineStr">
        <is>
          <t>2026-10-26</t>
        </is>
      </c>
      <c r="N50" s="5" t="inlineStr">
        <is>
          <t>cypress/reports/bolsillos/cucumber-report.html</t>
        </is>
      </c>
      <c r="O50" s="5" t="inlineStr">
        <is>
          <t>-</t>
        </is>
      </c>
    </row>
    <row r="51">
      <c r="A51" s="5" t="inlineStr">
        <is>
          <t>HU-24</t>
        </is>
      </c>
      <c r="B51" s="5" t="inlineStr">
        <is>
          <t>Consultar bolsillos</t>
        </is>
      </c>
      <c r="C51" s="5" t="inlineStr">
        <is>
          <t>Keploy test-set-0</t>
        </is>
      </c>
      <c r="D51" s="5" t="inlineStr">
        <is>
          <t>KP-get-api-v1-pockets-account-by-id-1</t>
        </is>
      </c>
      <c r="E51" s="5" t="inlineStr">
        <is>
          <t>get-api-v1-pockets-account-by-id-1</t>
        </is>
      </c>
      <c r="F51" s="5" t="inlineStr">
        <is>
          <t>Integración (API, mocks de Supabase)</t>
        </is>
      </c>
      <c r="G51" s="5" t="inlineStr">
        <is>
          <t>Regresión</t>
        </is>
      </c>
      <c r="H51" s="5" t="inlineStr">
        <is>
          <t>Keploy (herramienta IA 3)</t>
        </is>
      </c>
      <c r="I51" s="5" t="inlineStr">
        <is>
          <t>03-keploy/evidence/test-set-0-saneado/tests/get-api-v1-pockets-account-by-id-1.yaml</t>
        </is>
      </c>
      <c r="J51" s="5" t="inlineStr">
        <is>
          <t>Respuesta igual a la grabada (ruido declarado: data.token, data.id, Etag)</t>
        </is>
      </c>
      <c r="K51" s="5" t="inlineStr">
        <is>
          <t>Reproducida sin Supabase, igual a la grabada</t>
        </is>
      </c>
      <c r="L51" s="6" t="inlineStr">
        <is>
          <t>Aprobado</t>
        </is>
      </c>
      <c r="M51" s="5" t="inlineStr">
        <is>
          <t>2026-10-26</t>
        </is>
      </c>
      <c r="N51" s="5" t="inlineStr">
        <is>
          <t>03-keploy/evidence/02-replay-con-ruido-50-de-50.txt</t>
        </is>
      </c>
      <c r="O51" s="5" t="inlineStr">
        <is>
          <t>-</t>
        </is>
      </c>
    </row>
    <row r="52">
      <c r="A52" s="5" t="inlineStr">
        <is>
          <t>HU-24</t>
        </is>
      </c>
      <c r="B52" s="5" t="inlineStr">
        <is>
          <t>Consultar bolsillos</t>
        </is>
      </c>
      <c r="C52" s="5" t="inlineStr">
        <is>
          <t>Keploy test-set-0</t>
        </is>
      </c>
      <c r="D52" s="5" t="inlineStr">
        <is>
          <t>KP-get-api-v1-pockets-account-by-id-2</t>
        </is>
      </c>
      <c r="E52" s="5" t="inlineStr">
        <is>
          <t>get-api-v1-pockets-account-by-id-2</t>
        </is>
      </c>
      <c r="F52" s="5" t="inlineStr">
        <is>
          <t>Integración (API, mocks de Supabase)</t>
        </is>
      </c>
      <c r="G52" s="5" t="inlineStr">
        <is>
          <t>Regresión</t>
        </is>
      </c>
      <c r="H52" s="5" t="inlineStr">
        <is>
          <t>Keploy (herramienta IA 3)</t>
        </is>
      </c>
      <c r="I52" s="5" t="inlineStr">
        <is>
          <t>03-keploy/evidence/test-set-0-saneado/tests/get-api-v1-pockets-account-by-id-2.yaml</t>
        </is>
      </c>
      <c r="J52" s="5" t="inlineStr">
        <is>
          <t>Respuesta igual a la grabada (ruido declarado: data.token, data.id, Etag)</t>
        </is>
      </c>
      <c r="K52" s="5" t="inlineStr">
        <is>
          <t>Reproducida sin Supabase, igual a la grabada</t>
        </is>
      </c>
      <c r="L52" s="6" t="inlineStr">
        <is>
          <t>Aprobado</t>
        </is>
      </c>
      <c r="M52" s="5" t="inlineStr">
        <is>
          <t>2026-10-26</t>
        </is>
      </c>
      <c r="N52" s="5" t="inlineStr">
        <is>
          <t>03-keploy/evidence/02-replay-con-ruido-50-de-50.txt</t>
        </is>
      </c>
      <c r="O52" s="5" t="inlineStr">
        <is>
          <t>-</t>
        </is>
      </c>
    </row>
    <row r="53">
      <c r="A53" s="5" t="inlineStr">
        <is>
          <t>HU-24</t>
        </is>
      </c>
      <c r="B53" s="5" t="inlineStr">
        <is>
          <t>Consultar bolsillos</t>
        </is>
      </c>
      <c r="C53" s="5" t="inlineStr">
        <is>
          <t>Keploy test-set-0</t>
        </is>
      </c>
      <c r="D53" s="5" t="inlineStr">
        <is>
          <t>KP-get-api-v1-pockets-account-by-id-3</t>
        </is>
      </c>
      <c r="E53" s="5" t="inlineStr">
        <is>
          <t>get-api-v1-pockets-account-by-id-3</t>
        </is>
      </c>
      <c r="F53" s="5" t="inlineStr">
        <is>
          <t>Integración (API, mocks de Supabase)</t>
        </is>
      </c>
      <c r="G53" s="5" t="inlineStr">
        <is>
          <t>Regresión</t>
        </is>
      </c>
      <c r="H53" s="5" t="inlineStr">
        <is>
          <t>Keploy (herramienta IA 3)</t>
        </is>
      </c>
      <c r="I53" s="5" t="inlineStr">
        <is>
          <t>03-keploy/evidence/test-set-0-saneado/tests/get-api-v1-pockets-account-by-id-3.yaml</t>
        </is>
      </c>
      <c r="J53" s="5" t="inlineStr">
        <is>
          <t>Respuesta igual a la grabada (ruido declarado: data.token, data.id, Etag)</t>
        </is>
      </c>
      <c r="K53" s="5" t="inlineStr">
        <is>
          <t>Reproducida sin Supabase, igual a la grabada</t>
        </is>
      </c>
      <c r="L53" s="6" t="inlineStr">
        <is>
          <t>Aprobado</t>
        </is>
      </c>
      <c r="M53" s="5" t="inlineStr">
        <is>
          <t>2026-10-26</t>
        </is>
      </c>
      <c r="N53" s="5" t="inlineStr">
        <is>
          <t>03-keploy/evidence/02-replay-con-ruido-50-de-50.txt</t>
        </is>
      </c>
      <c r="O53" s="5" t="inlineStr">
        <is>
          <t>-</t>
        </is>
      </c>
    </row>
    <row r="54">
      <c r="A54" s="5" t="inlineStr">
        <is>
          <t>HU-24</t>
        </is>
      </c>
      <c r="B54" s="5" t="inlineStr">
        <is>
          <t>Consultar bolsillos</t>
        </is>
      </c>
      <c r="C54" s="5" t="inlineStr">
        <is>
          <t>Keploy test-set-0</t>
        </is>
      </c>
      <c r="D54" s="5" t="inlineStr">
        <is>
          <t>KP-get-api-v1-pockets-account-by-id-4</t>
        </is>
      </c>
      <c r="E54" s="5" t="inlineStr">
        <is>
          <t>get-api-v1-pockets-account-by-id-4</t>
        </is>
      </c>
      <c r="F54" s="5" t="inlineStr">
        <is>
          <t>Integración (API, mocks de Supabase)</t>
        </is>
      </c>
      <c r="G54" s="5" t="inlineStr">
        <is>
          <t>Regresión</t>
        </is>
      </c>
      <c r="H54" s="5" t="inlineStr">
        <is>
          <t>Keploy (herramienta IA 3)</t>
        </is>
      </c>
      <c r="I54" s="5" t="inlineStr">
        <is>
          <t>03-keploy/evidence/test-set-0-saneado/tests/get-api-v1-pockets-account-by-id-4.yaml</t>
        </is>
      </c>
      <c r="J54" s="5" t="inlineStr">
        <is>
          <t>Respuesta igual a la grabada (ruido declarado: data.token, data.id, Etag)</t>
        </is>
      </c>
      <c r="K54" s="5" t="inlineStr">
        <is>
          <t>Reproducida sin Supabase, igual a la grabada</t>
        </is>
      </c>
      <c r="L54" s="6" t="inlineStr">
        <is>
          <t>Aprobado</t>
        </is>
      </c>
      <c r="M54" s="5" t="inlineStr">
        <is>
          <t>2026-10-26</t>
        </is>
      </c>
      <c r="N54" s="5" t="inlineStr">
        <is>
          <t>03-keploy/evidence/02-replay-con-ruido-50-de-50.txt</t>
        </is>
      </c>
      <c r="O54" s="5" t="inlineStr">
        <is>
          <t>-</t>
        </is>
      </c>
    </row>
    <row r="55">
      <c r="A55" s="5" t="inlineStr">
        <is>
          <t>HU-24</t>
        </is>
      </c>
      <c r="B55" s="5" t="inlineStr">
        <is>
          <t>Consultar bolsillos</t>
        </is>
      </c>
      <c r="C55" s="5" t="inlineStr">
        <is>
          <t>Keploy test-set-0</t>
        </is>
      </c>
      <c r="D55" s="5" t="inlineStr">
        <is>
          <t>KP-get-api-v1-pockets-account-by-id-5</t>
        </is>
      </c>
      <c r="E55" s="5" t="inlineStr">
        <is>
          <t>get-api-v1-pockets-account-by-id-5</t>
        </is>
      </c>
      <c r="F55" s="5" t="inlineStr">
        <is>
          <t>Integración (API, mocks de Supabase)</t>
        </is>
      </c>
      <c r="G55" s="5" t="inlineStr">
        <is>
          <t>Regresión</t>
        </is>
      </c>
      <c r="H55" s="5" t="inlineStr">
        <is>
          <t>Keploy (herramienta IA 3)</t>
        </is>
      </c>
      <c r="I55" s="5" t="inlineStr">
        <is>
          <t>03-keploy/evidence/test-set-0-saneado/tests/get-api-v1-pockets-account-by-id-5.yaml</t>
        </is>
      </c>
      <c r="J55" s="5" t="inlineStr">
        <is>
          <t>Respuesta igual a la grabada (ruido declarado: data.token, data.id, Etag)</t>
        </is>
      </c>
      <c r="K55" s="5" t="inlineStr">
        <is>
          <t>Reproducida sin Supabase, igual a la grabada</t>
        </is>
      </c>
      <c r="L55" s="6" t="inlineStr">
        <is>
          <t>Aprobado</t>
        </is>
      </c>
      <c r="M55" s="5" t="inlineStr">
        <is>
          <t>2026-10-26</t>
        </is>
      </c>
      <c r="N55" s="5" t="inlineStr">
        <is>
          <t>03-keploy/evidence/02-replay-con-ruido-50-de-50.txt</t>
        </is>
      </c>
      <c r="O55" s="5" t="inlineStr">
        <is>
          <t>-</t>
        </is>
      </c>
    </row>
    <row r="56">
      <c r="A56" s="5" t="inlineStr">
        <is>
          <t>HU-24</t>
        </is>
      </c>
      <c r="B56" s="5" t="inlineStr">
        <is>
          <t>Consultar bolsillos</t>
        </is>
      </c>
      <c r="C56" s="5" t="inlineStr">
        <is>
          <t>Keploy test-set-0</t>
        </is>
      </c>
      <c r="D56" s="5" t="inlineStr">
        <is>
          <t>KP-get-api-v1-pockets-account-by-id-6</t>
        </is>
      </c>
      <c r="E56" s="5" t="inlineStr">
        <is>
          <t>get-api-v1-pockets-account-by-id-6</t>
        </is>
      </c>
      <c r="F56" s="5" t="inlineStr">
        <is>
          <t>Integración (API, mocks de Supabase)</t>
        </is>
      </c>
      <c r="G56" s="5" t="inlineStr">
        <is>
          <t>Regresión</t>
        </is>
      </c>
      <c r="H56" s="5" t="inlineStr">
        <is>
          <t>Keploy (herramienta IA 3)</t>
        </is>
      </c>
      <c r="I56" s="5" t="inlineStr">
        <is>
          <t>03-keploy/evidence/test-set-0-saneado/tests/get-api-v1-pockets-account-by-id-6.yaml</t>
        </is>
      </c>
      <c r="J56" s="5" t="inlineStr">
        <is>
          <t>Respuesta igual a la grabada (ruido declarado: data.token, data.id, Etag)</t>
        </is>
      </c>
      <c r="K56" s="5" t="inlineStr">
        <is>
          <t>Reproducida sin Supabase, igual a la grabada</t>
        </is>
      </c>
      <c r="L56" s="6" t="inlineStr">
        <is>
          <t>Aprobado</t>
        </is>
      </c>
      <c r="M56" s="5" t="inlineStr">
        <is>
          <t>2026-10-26</t>
        </is>
      </c>
      <c r="N56" s="5" t="inlineStr">
        <is>
          <t>03-keploy/evidence/02-replay-con-ruido-50-de-50.txt</t>
        </is>
      </c>
      <c r="O56" s="5" t="inlineStr">
        <is>
          <t>-</t>
        </is>
      </c>
    </row>
    <row r="57">
      <c r="A57" s="5" t="inlineStr">
        <is>
          <t>HU-24</t>
        </is>
      </c>
      <c r="B57" s="5" t="inlineStr">
        <is>
          <t>Consultar bolsillos</t>
        </is>
      </c>
      <c r="C57" s="5" t="inlineStr">
        <is>
          <t>ESC034</t>
        </is>
      </c>
      <c r="D57" s="5" t="inlineStr">
        <is>
          <t>TC-112</t>
        </is>
      </c>
      <c r="E57" s="5" t="inlineStr">
        <is>
          <t>Cuenta con un bolsillo</t>
        </is>
      </c>
      <c r="F57" s="5" t="inlineStr">
        <is>
          <t>Integración</t>
        </is>
      </c>
      <c r="G57" s="5" t="inlineStr">
        <is>
          <t>Funcional</t>
        </is>
      </c>
      <c r="H57" s="5" t="inlineStr">
        <is>
          <t>Manual (caja negra) + Katalon Recorder</t>
        </is>
      </c>
      <c r="I57" s="5" t="inlineStr">
        <is>
          <t>Casos y Escenarios FuBank.xlsx · katalon/casos</t>
        </is>
      </c>
      <c r="J57" s="5" t="inlineStr">
        <is>
          <t>Se consultan los bolsillos de una cuenta con un bolsillo; el sistema retorna la lista con un elemento</t>
        </is>
      </c>
      <c r="K57" s="5" t="inlineStr">
        <is>
          <t>Según lo esperado</t>
        </is>
      </c>
      <c r="L57" s="6" t="inlineStr">
        <is>
          <t>Aprobado</t>
        </is>
      </c>
      <c r="M57" s="5" t="inlineStr">
        <is>
          <t>2026-10-10</t>
        </is>
      </c>
      <c r="N57" s="5" t="inlineStr">
        <is>
          <t>katalon/evidencias/ · Excel (hoja Casos de Prueba Detallado)</t>
        </is>
      </c>
      <c r="O57" s="5" t="inlineStr">
        <is>
          <t>-</t>
        </is>
      </c>
    </row>
    <row r="58">
      <c r="A58" s="5" t="inlineStr">
        <is>
          <t>HU-24</t>
        </is>
      </c>
      <c r="B58" s="5" t="inlineStr">
        <is>
          <t>Consultar bolsillos</t>
        </is>
      </c>
      <c r="C58" s="5" t="inlineStr">
        <is>
          <t>ESC034</t>
        </is>
      </c>
      <c r="D58" s="5" t="inlineStr">
        <is>
          <t>TC-113</t>
        </is>
      </c>
      <c r="E58" s="5" t="inlineStr">
        <is>
          <t>Cuenta con varios bolsillos</t>
        </is>
      </c>
      <c r="F58" s="5" t="inlineStr">
        <is>
          <t>Integración</t>
        </is>
      </c>
      <c r="G58" s="5" t="inlineStr">
        <is>
          <t>Funcional</t>
        </is>
      </c>
      <c r="H58" s="5" t="inlineStr">
        <is>
          <t>Manual (caja negra) + Katalon Recorder</t>
        </is>
      </c>
      <c r="I58" s="5" t="inlineStr">
        <is>
          <t>Casos y Escenarios FuBank.xlsx · katalon/casos</t>
        </is>
      </c>
      <c r="J58" s="5" t="inlineStr">
        <is>
          <t>Se consultan los bolsillos de una cuenta con varios bolsillos; el sistema los retorna todos</t>
        </is>
      </c>
      <c r="K58" s="5" t="inlineStr">
        <is>
          <t>Según lo esperado Re-prueba 2026-08-24: lista los 4 bolsillos; la matriz original lo tenía como Fallido.</t>
        </is>
      </c>
      <c r="L58" s="6" t="inlineStr">
        <is>
          <t>Aprobado</t>
        </is>
      </c>
      <c r="M58" s="5" t="inlineStr">
        <is>
          <t>2026-10-10</t>
        </is>
      </c>
      <c r="N58" s="5" t="inlineStr">
        <is>
          <t>katalon/evidencias/ · Excel (hoja Casos de Prueba Detallado)</t>
        </is>
      </c>
      <c r="O58" s="5" t="inlineStr">
        <is>
          <t>DEF-002 (no reproducido)</t>
        </is>
      </c>
    </row>
    <row r="59">
      <c r="A59" s="5" t="inlineStr">
        <is>
          <t>HU-24</t>
        </is>
      </c>
      <c r="B59" s="5" t="inlineStr">
        <is>
          <t>Consultar bolsillos</t>
        </is>
      </c>
      <c r="C59" s="5" t="inlineStr">
        <is>
          <t>ESC034</t>
        </is>
      </c>
      <c r="D59" s="5" t="inlineStr">
        <is>
          <t>TC-114</t>
        </is>
      </c>
      <c r="E59" s="5" t="inlineStr">
        <is>
          <t>Datos correctos por bolsillo</t>
        </is>
      </c>
      <c r="F59" s="5" t="inlineStr">
        <is>
          <t>Integración</t>
        </is>
      </c>
      <c r="G59" s="5" t="inlineStr">
        <is>
          <t>Funcional</t>
        </is>
      </c>
      <c r="H59" s="5" t="inlineStr">
        <is>
          <t>Manual (caja negra) + Katalon Recorder</t>
        </is>
      </c>
      <c r="I59" s="5" t="inlineStr">
        <is>
          <t>Casos y Escenarios FuBank.xlsx · katalon/casos</t>
        </is>
      </c>
      <c r="J59" s="5" t="inlineStr">
        <is>
          <t>Cada bolsillo retornado muestra su nombre y monto correctos</t>
        </is>
      </c>
      <c r="K59" s="5" t="inlineStr">
        <is>
          <t>Según lo esperado</t>
        </is>
      </c>
      <c r="L59" s="6" t="inlineStr">
        <is>
          <t>Aprobado</t>
        </is>
      </c>
      <c r="M59" s="5" t="inlineStr">
        <is>
          <t>2026-10-10</t>
        </is>
      </c>
      <c r="N59" s="5" t="inlineStr">
        <is>
          <t>katalon/evidencias/ · Excel (hoja Casos de Prueba Detallado)</t>
        </is>
      </c>
      <c r="O59" s="5" t="inlineStr">
        <is>
          <t>-</t>
        </is>
      </c>
    </row>
    <row r="60">
      <c r="A60" s="5" t="inlineStr">
        <is>
          <t>HU-24</t>
        </is>
      </c>
      <c r="B60" s="5" t="inlineStr">
        <is>
          <t>Consultar bolsillos</t>
        </is>
      </c>
      <c r="C60" s="5" t="inlineStr">
        <is>
          <t>ESC034</t>
        </is>
      </c>
      <c r="D60" s="5" t="inlineStr">
        <is>
          <t>TC-115</t>
        </is>
      </c>
      <c r="E60" s="5" t="inlineStr">
        <is>
          <t>Cuenta sin bolsillos</t>
        </is>
      </c>
      <c r="F60" s="5" t="inlineStr">
        <is>
          <t>Unitaria</t>
        </is>
      </c>
      <c r="G60" s="5" t="inlineStr">
        <is>
          <t>Funcional</t>
        </is>
      </c>
      <c r="H60" s="5" t="inlineStr">
        <is>
          <t>Manual (caja negra) + Katalon Recorder</t>
        </is>
      </c>
      <c r="I60" s="5" t="inlineStr">
        <is>
          <t>Casos y Escenarios FuBank.xlsx · katalon/casos</t>
        </is>
      </c>
      <c r="J60" s="5" t="inlineStr">
        <is>
          <t>Se consulta una cuenta propia sin bolsillos; el sistema retorna una lista vacía</t>
        </is>
      </c>
      <c r="K60" s="5" t="inlineStr">
        <is>
          <t>Según lo esperado</t>
        </is>
      </c>
      <c r="L60" s="6" t="inlineStr">
        <is>
          <t>Aprobado</t>
        </is>
      </c>
      <c r="M60" s="5" t="inlineStr">
        <is>
          <t>2026-10-10</t>
        </is>
      </c>
      <c r="N60" s="5" t="inlineStr">
        <is>
          <t>katalon/evidencias/ · Excel (hoja Casos de Prueba Detallado)</t>
        </is>
      </c>
      <c r="O60" s="5" t="inlineStr">
        <is>
          <t>-</t>
        </is>
      </c>
    </row>
    <row r="61">
      <c r="A61" s="5" t="inlineStr">
        <is>
          <t>HU-24</t>
        </is>
      </c>
      <c r="B61" s="5" t="inlineStr">
        <is>
          <t>Consultar bolsillos</t>
        </is>
      </c>
      <c r="C61" s="5" t="inlineStr">
        <is>
          <t>ESC035</t>
        </is>
      </c>
      <c r="D61" s="5" t="inlineStr">
        <is>
          <t>TC-116</t>
        </is>
      </c>
      <c r="E61" s="5" t="inlineStr">
        <is>
          <t>Cuenta ajena</t>
        </is>
      </c>
      <c r="F61" s="5" t="inlineStr">
        <is>
          <t>Unitaria</t>
        </is>
      </c>
      <c r="G61" s="5" t="inlineStr">
        <is>
          <t>Seguridad</t>
        </is>
      </c>
      <c r="H61" s="5" t="inlineStr">
        <is>
          <t>Manual (caja negra) + Katalon Recorder</t>
        </is>
      </c>
      <c r="I61" s="5" t="inlineStr">
        <is>
          <t>Casos y Escenarios FuBank.xlsx · katalon/casos</t>
        </is>
      </c>
      <c r="J61" s="5" t="inlineStr">
        <is>
          <t>Un usuario que no es dueño consulta los bolsillos; el sistema lo rechaza (FORBIDDEN)</t>
        </is>
      </c>
      <c r="K61" s="5" t="inlineStr">
        <is>
          <t>Según lo esperado</t>
        </is>
      </c>
      <c r="L61" s="6" t="inlineStr">
        <is>
          <t>Aprobado</t>
        </is>
      </c>
      <c r="M61" s="5" t="inlineStr">
        <is>
          <t>2026-10-10</t>
        </is>
      </c>
      <c r="N61" s="5" t="inlineStr">
        <is>
          <t>katalon/evidencias/ · Excel (hoja Casos de Prueba Detallado)</t>
        </is>
      </c>
      <c r="O61" s="5" t="inlineStr">
        <is>
          <t>-</t>
        </is>
      </c>
    </row>
    <row r="62">
      <c r="A62" s="5" t="inlineStr">
        <is>
          <t>HU-24</t>
        </is>
      </c>
      <c r="B62" s="5" t="inlineStr">
        <is>
          <t>Consultar bolsillos</t>
        </is>
      </c>
      <c r="C62" s="5" t="inlineStr">
        <is>
          <t>ESC035</t>
        </is>
      </c>
      <c r="D62" s="5" t="inlineStr">
        <is>
          <t>TC-117</t>
        </is>
      </c>
      <c r="E62" s="5" t="inlineStr">
        <is>
          <t>Cuenta inexistente</t>
        </is>
      </c>
      <c r="F62" s="5" t="inlineStr">
        <is>
          <t>Unitaria</t>
        </is>
      </c>
      <c r="G62" s="5" t="inlineStr">
        <is>
          <t>Funcional</t>
        </is>
      </c>
      <c r="H62" s="5" t="inlineStr">
        <is>
          <t>Manual (caja negra) + Katalon Recorder</t>
        </is>
      </c>
      <c r="I62" s="5" t="inlineStr">
        <is>
          <t>Casos y Escenarios FuBank.xlsx · katalon/casos</t>
        </is>
      </c>
      <c r="J62" s="5" t="inlineStr">
        <is>
          <t>Se consulta una cuenta con accountId inexistente; el sistema responde ACCOUNT_NOT_FOUND</t>
        </is>
      </c>
      <c r="K62" s="5" t="inlineStr">
        <is>
          <t>Según lo esperado</t>
        </is>
      </c>
      <c r="L62" s="6" t="inlineStr">
        <is>
          <t>Aprobado</t>
        </is>
      </c>
      <c r="M62" s="5" t="inlineStr">
        <is>
          <t>2026-10-10</t>
        </is>
      </c>
      <c r="N62" s="5" t="inlineStr">
        <is>
          <t>katalon/evidencias/ · Excel (hoja Casos de Prueba Detallado)</t>
        </is>
      </c>
      <c r="O62" s="5" t="inlineStr">
        <is>
          <t>-</t>
        </is>
      </c>
    </row>
    <row r="63">
      <c r="A63" s="5" t="inlineStr">
        <is>
          <t>HU-24</t>
        </is>
      </c>
      <c r="B63" s="5" t="inlineStr">
        <is>
          <t>Consultar bolsillos</t>
        </is>
      </c>
      <c r="C63" s="5" t="inlineStr">
        <is>
          <t>ESC035</t>
        </is>
      </c>
      <c r="D63" s="5" t="inlineStr">
        <is>
          <t>TC-118</t>
        </is>
      </c>
      <c r="E63" s="5" t="inlineStr">
        <is>
          <t>Sin autenticación</t>
        </is>
      </c>
      <c r="F63" s="5" t="inlineStr">
        <is>
          <t>Unitaria</t>
        </is>
      </c>
      <c r="G63" s="5" t="inlineStr">
        <is>
          <t>Seguridad</t>
        </is>
      </c>
      <c r="H63" s="5" t="inlineStr">
        <is>
          <t>Manual (caja negra) + Katalon Recorder</t>
        </is>
      </c>
      <c r="I63" s="5" t="inlineStr">
        <is>
          <t>Casos y Escenarios FuBank.xlsx · katalon/casos</t>
        </is>
      </c>
      <c r="J63" s="5" t="inlineStr">
        <is>
          <t>Se consulta sin token de sesión válido; el sistema no autoriza la operación</t>
        </is>
      </c>
      <c r="K63" s="5" t="inlineStr">
        <is>
          <t>Según lo esperado</t>
        </is>
      </c>
      <c r="L63" s="6" t="inlineStr">
        <is>
          <t>Aprobado</t>
        </is>
      </c>
      <c r="M63" s="5" t="inlineStr">
        <is>
          <t>2026-10-10</t>
        </is>
      </c>
      <c r="N63" s="5" t="inlineStr">
        <is>
          <t>katalon/evidencias/ · Excel (hoja Casos de Prueba Detallado)</t>
        </is>
      </c>
      <c r="O63" s="5" t="inlineStr">
        <is>
          <t>-</t>
        </is>
      </c>
    </row>
    <row r="64">
      <c r="A64" s="5" t="inlineStr">
        <is>
          <t>HU-24</t>
        </is>
      </c>
      <c r="B64" s="5" t="inlineStr">
        <is>
          <t>Consultar bolsillos</t>
        </is>
      </c>
      <c r="C64" s="5" t="inlineStr">
        <is>
          <t>02 Consultar bolsillos</t>
        </is>
      </c>
      <c r="D64" s="5" t="inlineStr">
        <is>
          <t>PM-CO-01</t>
        </is>
      </c>
      <c r="E64" s="5" t="inlineStr">
        <is>
          <t>Listar los bolsillos de Ana</t>
        </is>
      </c>
      <c r="F64" s="5" t="inlineStr">
        <is>
          <t>Integración (API)</t>
        </is>
      </c>
      <c r="G64" s="5" t="inlineStr">
        <is>
          <t>Funcional</t>
        </is>
      </c>
      <c r="H64" s="5" t="inlineStr">
        <is>
          <t>Postman + Newman (herramienta IA 2)</t>
        </is>
      </c>
      <c r="I64" s="5" t="inlineStr">
        <is>
          <t>02-postman-postbot/FuBanking-Bolsillos.postman_collection.json</t>
        </is>
      </c>
      <c r="J64" s="5" t="inlineStr">
        <is>
          <t>200 con "Mercado" 50.000 y "Vacaciones" 100.000.</t>
        </is>
      </c>
      <c r="K64" s="5" t="inlineStr">
        <is>
          <t>6/6 aserciones correctas</t>
        </is>
      </c>
      <c r="L64" s="6" t="inlineStr">
        <is>
          <t>Aprobado</t>
        </is>
      </c>
      <c r="M64" s="5" t="inlineStr">
        <is>
          <t>2026-10-26</t>
        </is>
      </c>
      <c r="N64" s="5" t="inlineStr">
        <is>
          <t>02-postman-postbot/evidence/newman-report.html</t>
        </is>
      </c>
      <c r="O64" s="5" t="inlineStr">
        <is>
          <t>-</t>
        </is>
      </c>
    </row>
    <row r="65">
      <c r="A65" s="5" t="inlineStr">
        <is>
          <t>HU-24</t>
        </is>
      </c>
      <c r="B65" s="5" t="inlineStr">
        <is>
          <t>Consultar bolsillos</t>
        </is>
      </c>
      <c r="C65" s="5" t="inlineStr">
        <is>
          <t>02 Consultar bolsillos</t>
        </is>
      </c>
      <c r="D65" s="5" t="inlineStr">
        <is>
          <t>PM-CO-02</t>
        </is>
      </c>
      <c r="E65" s="5" t="inlineStr">
        <is>
          <t>No consultar los bolsillos de otro cliente</t>
        </is>
      </c>
      <c r="F65" s="5" t="inlineStr">
        <is>
          <t>Integración (API)</t>
        </is>
      </c>
      <c r="G65" s="5" t="inlineStr">
        <is>
          <t>Seguridad</t>
        </is>
      </c>
      <c r="H65" s="5" t="inlineStr">
        <is>
          <t>Postman + Newman (herramienta IA 2)</t>
        </is>
      </c>
      <c r="I65" s="5" t="inlineStr">
        <is>
          <t>02-postman-postbot/FuBanking-Bolsillos.postman_collection.json</t>
        </is>
      </c>
      <c r="J65" s="5" t="inlineStr">
        <is>
          <t>403 FORBIDDEN.</t>
        </is>
      </c>
      <c r="K65" s="5" t="inlineStr">
        <is>
          <t>4/4 aserciones correctas</t>
        </is>
      </c>
      <c r="L65" s="6" t="inlineStr">
        <is>
          <t>Aprobado</t>
        </is>
      </c>
      <c r="M65" s="5" t="inlineStr">
        <is>
          <t>2026-10-26</t>
        </is>
      </c>
      <c r="N65" s="5" t="inlineStr">
        <is>
          <t>02-postman-postbot/evidence/newman-report.html</t>
        </is>
      </c>
      <c r="O65" s="5" t="inlineStr">
        <is>
          <t>-</t>
        </is>
      </c>
    </row>
    <row r="66">
      <c r="A66" s="5" t="inlineStr">
        <is>
          <t>HU-24</t>
        </is>
      </c>
      <c r="B66" s="5" t="inlineStr">
        <is>
          <t>Consultar bolsillos</t>
        </is>
      </c>
      <c r="C66" s="5" t="inlineStr">
        <is>
          <t>consultar_bolsillos.feature</t>
        </is>
      </c>
      <c r="D66" s="5" t="inlineStr">
        <is>
          <t>SJ-CON-01</t>
        </is>
      </c>
      <c r="E66" s="5" t="inlineStr">
        <is>
          <t>Consultar los bolsillos de la cuenta</t>
        </is>
      </c>
      <c r="F66" s="5" t="inlineStr">
        <is>
          <t>Integración (API)</t>
        </is>
      </c>
      <c r="G66" s="5" t="inlineStr">
        <is>
          <t>Funcional</t>
        </is>
      </c>
      <c r="H66" s="5" t="inlineStr">
        <is>
          <t>Serenity/JS Screenplay + Gherkin</t>
        </is>
      </c>
      <c r="I66" s="5" t="inlineStr">
        <is>
          <t>e2e/serenity/features/consultar_bolsillos.feature</t>
        </is>
      </c>
      <c r="J66" s="5" t="inlineStr">
        <is>
          <t>la respuesta HTTP tiene estado 200; la respuesta contiene 2 bolsillos</t>
        </is>
      </c>
      <c r="K66" s="5" t="inlineStr">
        <is>
          <t>Todos los pasos pasaron</t>
        </is>
      </c>
      <c r="L66" s="6" t="inlineStr">
        <is>
          <t>Aprobado</t>
        </is>
      </c>
      <c r="M66" s="5" t="inlineStr">
        <is>
          <t>2026-10-26</t>
        </is>
      </c>
      <c r="N66" s="5" t="inlineStr">
        <is>
          <t>e2e/serenity/reports/serenity-js (HTML)</t>
        </is>
      </c>
      <c r="O66" s="5" t="inlineStr">
        <is>
          <t>-</t>
        </is>
      </c>
    </row>
    <row r="67">
      <c r="A67" s="5" t="inlineStr">
        <is>
          <t>HU-24</t>
        </is>
      </c>
      <c r="B67" s="5" t="inlineStr">
        <is>
          <t>Consultar bolsillos</t>
        </is>
      </c>
      <c r="C67" s="5" t="inlineStr">
        <is>
          <t>consultar_bolsillos.feature</t>
        </is>
      </c>
      <c r="D67" s="5" t="inlineStr">
        <is>
          <t>SJ-CON-02</t>
        </is>
      </c>
      <c r="E67" s="5" t="inlineStr">
        <is>
          <t>Una cuenta sin bolsillos devuelve una lista vacía</t>
        </is>
      </c>
      <c r="F67" s="5" t="inlineStr">
        <is>
          <t>Integración (API)</t>
        </is>
      </c>
      <c r="G67" s="5" t="inlineStr">
        <is>
          <t>Funcional</t>
        </is>
      </c>
      <c r="H67" s="5" t="inlineStr">
        <is>
          <t>Serenity/JS Screenplay + Gherkin</t>
        </is>
      </c>
      <c r="I67" s="5" t="inlineStr">
        <is>
          <t>e2e/serenity/features/consultar_bolsillos.feature</t>
        </is>
      </c>
      <c r="J67" s="5" t="inlineStr">
        <is>
          <t>la respuesta HTTP tiene estado 200; la respuesta contiene 0 bolsillos</t>
        </is>
      </c>
      <c r="K67" s="5" t="inlineStr">
        <is>
          <t>Todos los pasos pasaron</t>
        </is>
      </c>
      <c r="L67" s="6" t="inlineStr">
        <is>
          <t>Aprobado</t>
        </is>
      </c>
      <c r="M67" s="5" t="inlineStr">
        <is>
          <t>2026-10-26</t>
        </is>
      </c>
      <c r="N67" s="5" t="inlineStr">
        <is>
          <t>e2e/serenity/reports/serenity-js (HTML)</t>
        </is>
      </c>
      <c r="O67" s="5" t="inlineStr">
        <is>
          <t>-</t>
        </is>
      </c>
    </row>
    <row r="68">
      <c r="A68" s="5" t="inlineStr">
        <is>
          <t>HU-24</t>
        </is>
      </c>
      <c r="B68" s="5" t="inlineStr">
        <is>
          <t>Consultar bolsillos</t>
        </is>
      </c>
      <c r="C68" s="5" t="inlineStr">
        <is>
          <t>consultar_bolsillos.feature</t>
        </is>
      </c>
      <c r="D68" s="5" t="inlineStr">
        <is>
          <t>SJ-CON-03</t>
        </is>
      </c>
      <c r="E68" s="5" t="inlineStr">
        <is>
          <t>No se pueden consultar los bolsillos de otro cliente</t>
        </is>
      </c>
      <c r="F68" s="5" t="inlineStr">
        <is>
          <t>Integración (API)</t>
        </is>
      </c>
      <c r="G68" s="5" t="inlineStr">
        <is>
          <t>Seguridad</t>
        </is>
      </c>
      <c r="H68" s="5" t="inlineStr">
        <is>
          <t>Serenity/JS Screenplay + Gherkin</t>
        </is>
      </c>
      <c r="I68" s="5" t="inlineStr">
        <is>
          <t>e2e/serenity/features/consultar_bolsillos.feature</t>
        </is>
      </c>
      <c r="J68" s="5" t="inlineStr">
        <is>
          <t>la respuesta HTTP tiene estado 403; el código de error es "FORBIDDEN"</t>
        </is>
      </c>
      <c r="K68" s="5" t="inlineStr">
        <is>
          <t>Todos los pasos pasaron</t>
        </is>
      </c>
      <c r="L68" s="6" t="inlineStr">
        <is>
          <t>Aprobado</t>
        </is>
      </c>
      <c r="M68" s="5" t="inlineStr">
        <is>
          <t>2026-10-26</t>
        </is>
      </c>
      <c r="N68" s="5" t="inlineStr">
        <is>
          <t>e2e/serenity/reports/serenity-js (HTML)</t>
        </is>
      </c>
      <c r="O68" s="5" t="inlineStr">
        <is>
          <t>-</t>
        </is>
      </c>
    </row>
    <row r="69">
      <c r="A69" s="5" t="inlineStr">
        <is>
          <t>HU-24</t>
        </is>
      </c>
      <c r="B69" s="5" t="inlineStr">
        <is>
          <t>Consultar bolsillos</t>
        </is>
      </c>
      <c r="C69" s="5" t="inlineStr">
        <is>
          <t>consultar_bolsillos.feature</t>
        </is>
      </c>
      <c r="D69" s="5" t="inlineStr">
        <is>
          <t>SJ-CON-04</t>
        </is>
      </c>
      <c r="E69" s="5" t="inlineStr">
        <is>
          <t>Ver en pantalla los bolsillos de la cuenta</t>
        </is>
      </c>
      <c r="F69" s="5" t="inlineStr">
        <is>
          <t>Sistema (E2E UI)</t>
        </is>
      </c>
      <c r="G69" s="5" t="inlineStr">
        <is>
          <t>Funcional</t>
        </is>
      </c>
      <c r="H69" s="5" t="inlineStr">
        <is>
          <t>Serenity/JS Screenplay + Gherkin</t>
        </is>
      </c>
      <c r="I69" s="5" t="inlineStr">
        <is>
          <t>e2e/serenity/features/consultar_bolsillos.feature</t>
        </is>
      </c>
      <c r="J69" s="5" t="inlineStr">
        <is>
          <t>ella ve los bolsillos:; ella ve el bolsillo "Vacaciones" con 100000; ella ve el bolsillo "Mercado" con 50000</t>
        </is>
      </c>
      <c r="K69" s="5" t="inlineStr">
        <is>
          <t>Todos los pasos pasaron</t>
        </is>
      </c>
      <c r="L69" s="6" t="inlineStr">
        <is>
          <t>Aprobado</t>
        </is>
      </c>
      <c r="M69" s="5" t="inlineStr">
        <is>
          <t>2026-10-26</t>
        </is>
      </c>
      <c r="N69" s="5" t="inlineStr">
        <is>
          <t>e2e/serenity/reports/serenity-js (HTML)</t>
        </is>
      </c>
      <c r="O69" s="5" t="inlineStr">
        <is>
          <t>-</t>
        </is>
      </c>
    </row>
    <row r="70">
      <c r="A70" s="5" t="inlineStr">
        <is>
          <t>HU-24</t>
        </is>
      </c>
      <c r="B70" s="5" t="inlineStr">
        <is>
          <t>Consultar bolsillos</t>
        </is>
      </c>
      <c r="C70" s="5" t="inlineStr">
        <is>
          <t>Stagehand + Claude</t>
        </is>
      </c>
      <c r="D70" s="5" t="inlineStr">
        <is>
          <t>SH-B02</t>
        </is>
      </c>
      <c r="E70" s="5" t="inlineStr">
        <is>
          <t>La IA lee los bolsillos de la cuenta y descubre las acciones disponibles en cada tarjeta. (extract + observe)</t>
        </is>
      </c>
      <c r="F70" s="5" t="inlineStr">
        <is>
          <t>Sistema (E2E UI con IA)</t>
        </is>
      </c>
      <c r="G70" s="5" t="inlineStr">
        <is>
          <t>Funcional</t>
        </is>
      </c>
      <c r="H70" s="5" t="inlineStr">
        <is>
          <t>Stagehand (act/observe/extract)</t>
        </is>
      </c>
      <c r="I70" s="5" t="inlineStr">
        <is>
          <t>e2e/stagehand/src/bolsillos/scenarios.ts</t>
        </is>
      </c>
      <c r="J70" s="5" t="inlineStr">
        <is>
          <t>Extrae "Mercado" 50.000 y "Vacaciones" 100.000, igual que la API, y encuentra Editar y Eliminar.</t>
        </is>
      </c>
      <c r="K70" s="5" t="inlineStr">
        <is>
          <t>4/4 validaciones correctas</t>
        </is>
      </c>
      <c r="L70" s="6" t="inlineStr">
        <is>
          <t>Aprobado</t>
        </is>
      </c>
      <c r="M70" s="5" t="inlineStr">
        <is>
          <t>2026-10-26</t>
        </is>
      </c>
      <c r="N70" s="5" t="inlineStr">
        <is>
          <t>e2e/stagehand/evidence/bolsillos/SH-B02-*.png · SH-B02-report.json</t>
        </is>
      </c>
      <c r="O70" s="5" t="inlineStr">
        <is>
          <t>-</t>
        </is>
      </c>
    </row>
    <row r="71">
      <c r="A71" s="5" t="inlineStr">
        <is>
          <t>HU-24</t>
        </is>
      </c>
      <c r="B71" s="5" t="inlineStr">
        <is>
          <t>Consultar bolsillos</t>
        </is>
      </c>
      <c r="C71" s="5" t="inlineStr">
        <is>
          <t>Suite automatizada</t>
        </is>
      </c>
      <c r="D71" s="5" t="inlineStr">
        <is>
          <t>VT-consultar</t>
        </is>
      </c>
      <c r="E71" s="5" t="inlineStr">
        <is>
          <t>consultar.regression.test.ts (11 pruebas)</t>
        </is>
      </c>
      <c r="F71" s="5" t="inlineStr">
        <is>
          <t>Unitaria / Integración</t>
        </is>
      </c>
      <c r="G71" s="5" t="inlineStr">
        <is>
          <t>Funcional (regresión)</t>
        </is>
      </c>
      <c r="H71" s="5" t="inlineStr">
        <is>
          <t>Vitest · regresión + unitarias (AAA, 5 dobles)</t>
        </is>
      </c>
      <c r="I71" s="5" t="inlineStr">
        <is>
          <t>consultar.regression.test.ts</t>
        </is>
      </c>
      <c r="J71" s="5" t="inlineStr">
        <is>
          <t>Todas las pruebas del archivo pasan (incluye `it.fails` de defectos abiertos)</t>
        </is>
      </c>
      <c r="K71" s="5" t="inlineStr">
        <is>
          <t>11/11 pasan</t>
        </is>
      </c>
      <c r="L71" s="6" t="inlineStr">
        <is>
          <t>Aprobado</t>
        </is>
      </c>
      <c r="M71" s="5" t="inlineStr">
        <is>
          <t>2026-10-26</t>
        </is>
      </c>
      <c r="N71" s="5" t="inlineStr">
        <is>
          <t>docs/evidencia-final-bolsillos/vitest-regresion.json</t>
        </is>
      </c>
      <c r="O71" s="5" t="inlineStr">
        <is>
          <t>-</t>
        </is>
      </c>
    </row>
    <row r="72">
      <c r="A72" s="5" t="inlineStr">
        <is>
          <t>HU-24</t>
        </is>
      </c>
      <c r="B72" s="5" t="inlineStr">
        <is>
          <t>Editar bolsillo</t>
        </is>
      </c>
      <c r="C72" s="5" t="inlineStr">
        <is>
          <t>editar_bolsillo.feature</t>
        </is>
      </c>
      <c r="D72" s="5" t="inlineStr">
        <is>
          <t>CY-EDI-01</t>
        </is>
      </c>
      <c r="E72" s="5" t="inlineStr">
        <is>
          <t>Renombrar un bolsillo conserva su saldo</t>
        </is>
      </c>
      <c r="F72" s="5" t="inlineStr">
        <is>
          <t>Integración (API)</t>
        </is>
      </c>
      <c r="G72" s="5" t="inlineStr">
        <is>
          <t>Funcional</t>
        </is>
      </c>
      <c r="H72" s="5" t="inlineStr">
        <is>
          <t>Cypress + Gherkin (cucumber-preprocessor)</t>
        </is>
      </c>
      <c r="I72" s="5" t="inlineStr">
        <is>
          <t>e2e/serenity/features · cypress/bolsillos/features/editar_bolsillo.feature</t>
        </is>
      </c>
      <c r="J72" s="5" t="inlineStr">
        <is>
          <t>la respuesta HTTP tiene estado 200; su bolsillo "Viaje a Cartagena" tiene 100000</t>
        </is>
      </c>
      <c r="K72" s="5" t="inlineStr">
        <is>
          <t>Todos los pasos pasaron</t>
        </is>
      </c>
      <c r="L72" s="6" t="inlineStr">
        <is>
          <t>Aprobado</t>
        </is>
      </c>
      <c r="M72" s="5" t="inlineStr">
        <is>
          <t>2026-10-26</t>
        </is>
      </c>
      <c r="N72" s="5" t="inlineStr">
        <is>
          <t>cypress/reports/bolsillos/cucumber-report.html</t>
        </is>
      </c>
      <c r="O72" s="5" t="inlineStr">
        <is>
          <t>-</t>
        </is>
      </c>
    </row>
    <row r="73">
      <c r="A73" s="5" t="inlineStr">
        <is>
          <t>HU-24</t>
        </is>
      </c>
      <c r="B73" s="5" t="inlineStr">
        <is>
          <t>Editar bolsillo</t>
        </is>
      </c>
      <c r="C73" s="5" t="inlineStr">
        <is>
          <t>editar_bolsillo.feature</t>
        </is>
      </c>
      <c r="D73" s="5" t="inlineStr">
        <is>
          <t>CY-EDI-02</t>
        </is>
      </c>
      <c r="E73" s="5" t="inlineStr">
        <is>
          <t>Aumentar el monto de un bolsillo descuenta la diferencia de la cuenta</t>
        </is>
      </c>
      <c r="F73" s="5" t="inlineStr">
        <is>
          <t>Integración (API)</t>
        </is>
      </c>
      <c r="G73" s="5" t="inlineStr">
        <is>
          <t>Funcional</t>
        </is>
      </c>
      <c r="H73" s="5" t="inlineStr">
        <is>
          <t>Cypress + Gherkin (cucumber-preprocessor)</t>
        </is>
      </c>
      <c r="I73" s="5" t="inlineStr">
        <is>
          <t>e2e/serenity/features · cypress/bolsillos/features/editar_bolsillo.feature</t>
        </is>
      </c>
      <c r="J73" s="5" t="inlineStr">
        <is>
          <t>la respuesta HTTP tiene estado 200; su bolsillo "Vacaciones" tiene 150000; el saldo de su cuenta es 350000</t>
        </is>
      </c>
      <c r="K73" s="5" t="inlineStr">
        <is>
          <t>Todos los pasos pasaron</t>
        </is>
      </c>
      <c r="L73" s="6" t="inlineStr">
        <is>
          <t>Aprobado</t>
        </is>
      </c>
      <c r="M73" s="5" t="inlineStr">
        <is>
          <t>2026-10-26</t>
        </is>
      </c>
      <c r="N73" s="5" t="inlineStr">
        <is>
          <t>cypress/reports/bolsillos/cucumber-report.html</t>
        </is>
      </c>
      <c r="O73" s="5" t="inlineStr">
        <is>
          <t>-</t>
        </is>
      </c>
    </row>
    <row r="74">
      <c r="A74" s="5" t="inlineStr">
        <is>
          <t>HU-24</t>
        </is>
      </c>
      <c r="B74" s="5" t="inlineStr">
        <is>
          <t>Editar bolsillo</t>
        </is>
      </c>
      <c r="C74" s="5" t="inlineStr">
        <is>
          <t>editar_bolsillo.feature</t>
        </is>
      </c>
      <c r="D74" s="5" t="inlineStr">
        <is>
          <t>CY-EDI-03</t>
        </is>
      </c>
      <c r="E74" s="5" t="inlineStr">
        <is>
          <t>Disminuir el monto de un bolsillo devuelve la diferencia a la cuenta</t>
        </is>
      </c>
      <c r="F74" s="5" t="inlineStr">
        <is>
          <t>Integración (API)</t>
        </is>
      </c>
      <c r="G74" s="5" t="inlineStr">
        <is>
          <t>Funcional</t>
        </is>
      </c>
      <c r="H74" s="5" t="inlineStr">
        <is>
          <t>Cypress + Gherkin (cucumber-preprocessor)</t>
        </is>
      </c>
      <c r="I74" s="5" t="inlineStr">
        <is>
          <t>e2e/serenity/features · cypress/bolsillos/features/editar_bolsillo.feature</t>
        </is>
      </c>
      <c r="J74" s="5" t="inlineStr">
        <is>
          <t>la respuesta HTTP tiene estado 200; su bolsillo "Vacaciones" tiene 40000; el saldo de su cuenta es 460000</t>
        </is>
      </c>
      <c r="K74" s="5" t="inlineStr">
        <is>
          <t>Todos los pasos pasaron</t>
        </is>
      </c>
      <c r="L74" s="6" t="inlineStr">
        <is>
          <t>Aprobado</t>
        </is>
      </c>
      <c r="M74" s="5" t="inlineStr">
        <is>
          <t>2026-10-26</t>
        </is>
      </c>
      <c r="N74" s="5" t="inlineStr">
        <is>
          <t>cypress/reports/bolsillos/cucumber-report.html</t>
        </is>
      </c>
      <c r="O74" s="5" t="inlineStr">
        <is>
          <t>-</t>
        </is>
      </c>
    </row>
    <row r="75">
      <c r="A75" s="5" t="inlineStr">
        <is>
          <t>HU-24</t>
        </is>
      </c>
      <c r="B75" s="5" t="inlineStr">
        <is>
          <t>Editar bolsillo</t>
        </is>
      </c>
      <c r="C75" s="5" t="inlineStr">
        <is>
          <t>editar_bolsillo.feature</t>
        </is>
      </c>
      <c r="D75" s="5" t="inlineStr">
        <is>
          <t>CY-EDI-04</t>
        </is>
      </c>
      <c r="E75" s="5" t="inlineStr">
        <is>
          <t>No se puede ajustar un bolsillo por encima del dinero total</t>
        </is>
      </c>
      <c r="F75" s="5" t="inlineStr">
        <is>
          <t>Integración (API)</t>
        </is>
      </c>
      <c r="G75" s="5" t="inlineStr">
        <is>
          <t>Funcional</t>
        </is>
      </c>
      <c r="H75" s="5" t="inlineStr">
        <is>
          <t>Cypress + Gherkin (cucumber-preprocessor)</t>
        </is>
      </c>
      <c r="I75" s="5" t="inlineStr">
        <is>
          <t>e2e/serenity/features · cypress/bolsillos/features/editar_bolsillo.feature</t>
        </is>
      </c>
      <c r="J75" s="5" t="inlineStr">
        <is>
          <t>la respuesta HTTP tiene estado 400; el código de error es "INSUFFICIENT_AVAILABLE_BALANCE"; el saldo de su cuenta es 400000</t>
        </is>
      </c>
      <c r="K75" s="5" t="inlineStr">
        <is>
          <t>Todos los pasos pasaron</t>
        </is>
      </c>
      <c r="L75" s="6" t="inlineStr">
        <is>
          <t>Aprobado</t>
        </is>
      </c>
      <c r="M75" s="5" t="inlineStr">
        <is>
          <t>2026-10-26</t>
        </is>
      </c>
      <c r="N75" s="5" t="inlineStr">
        <is>
          <t>cypress/reports/bolsillos/cucumber-report.html</t>
        </is>
      </c>
      <c r="O75" s="5" t="inlineStr">
        <is>
          <t>-</t>
        </is>
      </c>
    </row>
    <row r="76">
      <c r="A76" s="5" t="inlineStr">
        <is>
          <t>HU-24</t>
        </is>
      </c>
      <c r="B76" s="5" t="inlineStr">
        <is>
          <t>Editar bolsillo</t>
        </is>
      </c>
      <c r="C76" s="5" t="inlineStr">
        <is>
          <t>editar_bolsillo.feature</t>
        </is>
      </c>
      <c r="D76" s="5" t="inlineStr">
        <is>
          <t>CY-EDI-05</t>
        </is>
      </c>
      <c r="E76" s="5" t="inlineStr">
        <is>
          <t>Renombrar un bolsillo desde la pantalla</t>
        </is>
      </c>
      <c r="F76" s="5" t="inlineStr">
        <is>
          <t>Sistema (E2E UI)</t>
        </is>
      </c>
      <c r="G76" s="5" t="inlineStr">
        <is>
          <t>Funcional</t>
        </is>
      </c>
      <c r="H76" s="5" t="inlineStr">
        <is>
          <t>Cypress + Gherkin (cucumber-preprocessor)</t>
        </is>
      </c>
      <c r="I76" s="5" t="inlineStr">
        <is>
          <t>e2e/serenity/features · cypress/bolsillos/features/editar_bolsillo.feature</t>
        </is>
      </c>
      <c r="J76" s="5" t="inlineStr">
        <is>
          <t>ella ve la notificación "Bolsillo actualizado"; ella ve el bolsillo "Viaje a Cartagena" con 100000</t>
        </is>
      </c>
      <c r="K76" s="5" t="inlineStr">
        <is>
          <t>Todos los pasos pasaron</t>
        </is>
      </c>
      <c r="L76" s="6" t="inlineStr">
        <is>
          <t>Aprobado</t>
        </is>
      </c>
      <c r="M76" s="5" t="inlineStr">
        <is>
          <t>2026-10-26</t>
        </is>
      </c>
      <c r="N76" s="5" t="inlineStr">
        <is>
          <t>cypress/reports/bolsillos/cucumber-report.html</t>
        </is>
      </c>
      <c r="O76" s="5" t="inlineStr">
        <is>
          <t>-</t>
        </is>
      </c>
    </row>
    <row r="77">
      <c r="A77" s="5" t="inlineStr">
        <is>
          <t>HU-24</t>
        </is>
      </c>
      <c r="B77" s="5" t="inlineStr">
        <is>
          <t>Editar bolsillo</t>
        </is>
      </c>
      <c r="C77" s="5" t="inlineStr">
        <is>
          <t>Keploy test-set-0</t>
        </is>
      </c>
      <c r="D77" s="5" t="inlineStr">
        <is>
          <t>KP-patch-api-v1-pockets-by-id-1</t>
        </is>
      </c>
      <c r="E77" s="5" t="inlineStr">
        <is>
          <t>patch-api-v1-pockets-by-id-1</t>
        </is>
      </c>
      <c r="F77" s="5" t="inlineStr">
        <is>
          <t>Integración (API, mocks de Supabase)</t>
        </is>
      </c>
      <c r="G77" s="5" t="inlineStr">
        <is>
          <t>Regresión</t>
        </is>
      </c>
      <c r="H77" s="5" t="inlineStr">
        <is>
          <t>Keploy (herramienta IA 3)</t>
        </is>
      </c>
      <c r="I77" s="5" t="inlineStr">
        <is>
          <t>03-keploy/evidence/test-set-0-saneado/tests/patch-api-v1-pockets-by-id-1.yaml</t>
        </is>
      </c>
      <c r="J77" s="5" t="inlineStr">
        <is>
          <t>Respuesta igual a la grabada (ruido declarado: data.token, data.id, Etag)</t>
        </is>
      </c>
      <c r="K77" s="5" t="inlineStr">
        <is>
          <t>Reproducida sin Supabase, igual a la grabada</t>
        </is>
      </c>
      <c r="L77" s="6" t="inlineStr">
        <is>
          <t>Aprobado</t>
        </is>
      </c>
      <c r="M77" s="5" t="inlineStr">
        <is>
          <t>2026-10-26</t>
        </is>
      </c>
      <c r="N77" s="5" t="inlineStr">
        <is>
          <t>03-keploy/evidence/02-replay-con-ruido-50-de-50.txt</t>
        </is>
      </c>
      <c r="O77" s="5" t="inlineStr">
        <is>
          <t>-</t>
        </is>
      </c>
    </row>
    <row r="78">
      <c r="A78" s="5" t="inlineStr">
        <is>
          <t>HU-24</t>
        </is>
      </c>
      <c r="B78" s="5" t="inlineStr">
        <is>
          <t>Editar bolsillo</t>
        </is>
      </c>
      <c r="C78" s="5" t="inlineStr">
        <is>
          <t>Keploy test-set-0</t>
        </is>
      </c>
      <c r="D78" s="5" t="inlineStr">
        <is>
          <t>KP-patch-api-v1-pockets-by-id-2</t>
        </is>
      </c>
      <c r="E78" s="5" t="inlineStr">
        <is>
          <t>patch-api-v1-pockets-by-id-2</t>
        </is>
      </c>
      <c r="F78" s="5" t="inlineStr">
        <is>
          <t>Integración (API, mocks de Supabase)</t>
        </is>
      </c>
      <c r="G78" s="5" t="inlineStr">
        <is>
          <t>Regresión</t>
        </is>
      </c>
      <c r="H78" s="5" t="inlineStr">
        <is>
          <t>Keploy (herramienta IA 3)</t>
        </is>
      </c>
      <c r="I78" s="5" t="inlineStr">
        <is>
          <t>03-keploy/evidence/test-set-0-saneado/tests/patch-api-v1-pockets-by-id-2.yaml</t>
        </is>
      </c>
      <c r="J78" s="5" t="inlineStr">
        <is>
          <t>Respuesta igual a la grabada (ruido declarado: data.token, data.id, Etag)</t>
        </is>
      </c>
      <c r="K78" s="5" t="inlineStr">
        <is>
          <t>Reproducida sin Supabase, igual a la grabada</t>
        </is>
      </c>
      <c r="L78" s="6" t="inlineStr">
        <is>
          <t>Aprobado</t>
        </is>
      </c>
      <c r="M78" s="5" t="inlineStr">
        <is>
          <t>2026-10-26</t>
        </is>
      </c>
      <c r="N78" s="5" t="inlineStr">
        <is>
          <t>03-keploy/evidence/02-replay-con-ruido-50-de-50.txt</t>
        </is>
      </c>
      <c r="O78" s="5" t="inlineStr">
        <is>
          <t>-</t>
        </is>
      </c>
    </row>
    <row r="79">
      <c r="A79" s="5" t="inlineStr">
        <is>
          <t>HU-24</t>
        </is>
      </c>
      <c r="B79" s="5" t="inlineStr">
        <is>
          <t>Editar bolsillo</t>
        </is>
      </c>
      <c r="C79" s="5" t="inlineStr">
        <is>
          <t>Keploy test-set-0</t>
        </is>
      </c>
      <c r="D79" s="5" t="inlineStr">
        <is>
          <t>KP-patch-api-v1-pockets-by-id-3</t>
        </is>
      </c>
      <c r="E79" s="5" t="inlineStr">
        <is>
          <t>patch-api-v1-pockets-by-id-3</t>
        </is>
      </c>
      <c r="F79" s="5" t="inlineStr">
        <is>
          <t>Integración (API, mocks de Supabase)</t>
        </is>
      </c>
      <c r="G79" s="5" t="inlineStr">
        <is>
          <t>Regresión</t>
        </is>
      </c>
      <c r="H79" s="5" t="inlineStr">
        <is>
          <t>Keploy (herramienta IA 3)</t>
        </is>
      </c>
      <c r="I79" s="5" t="inlineStr">
        <is>
          <t>03-keploy/evidence/test-set-0-saneado/tests/patch-api-v1-pockets-by-id-3.yaml</t>
        </is>
      </c>
      <c r="J79" s="5" t="inlineStr">
        <is>
          <t>Respuesta igual a la grabada (ruido declarado: data.token, data.id, Etag)</t>
        </is>
      </c>
      <c r="K79" s="5" t="inlineStr">
        <is>
          <t>Reproducida sin Supabase, igual a la grabada</t>
        </is>
      </c>
      <c r="L79" s="6" t="inlineStr">
        <is>
          <t>Aprobado</t>
        </is>
      </c>
      <c r="M79" s="5" t="inlineStr">
        <is>
          <t>2026-10-26</t>
        </is>
      </c>
      <c r="N79" s="5" t="inlineStr">
        <is>
          <t>03-keploy/evidence/02-replay-con-ruido-50-de-50.txt</t>
        </is>
      </c>
      <c r="O79" s="5" t="inlineStr">
        <is>
          <t>-</t>
        </is>
      </c>
    </row>
    <row r="80">
      <c r="A80" s="5" t="inlineStr">
        <is>
          <t>HU-24</t>
        </is>
      </c>
      <c r="B80" s="5" t="inlineStr">
        <is>
          <t>Editar bolsillo</t>
        </is>
      </c>
      <c r="C80" s="5" t="inlineStr">
        <is>
          <t>ESC036</t>
        </is>
      </c>
      <c r="D80" s="5" t="inlineStr">
        <is>
          <t>TC-119</t>
        </is>
      </c>
      <c r="E80" s="5" t="inlineStr">
        <is>
          <t>Cambiar solo el nombre</t>
        </is>
      </c>
      <c r="F80" s="5" t="inlineStr">
        <is>
          <t>Unitaria</t>
        </is>
      </c>
      <c r="G80" s="5" t="inlineStr">
        <is>
          <t>Funcional</t>
        </is>
      </c>
      <c r="H80" s="5" t="inlineStr">
        <is>
          <t>Manual (caja negra) + Katalon Recorder</t>
        </is>
      </c>
      <c r="I80" s="5" t="inlineStr">
        <is>
          <t>Casos y Escenarios FuBank.xlsx · katalon/casos</t>
        </is>
      </c>
      <c r="J80" s="5" t="inlineStr">
        <is>
          <t>Se actualiza únicamente el nombre con un valor válido; el sistema guarda el cambio</t>
        </is>
      </c>
      <c r="K80" s="5" t="inlineStr">
        <is>
          <t>Según lo esperado</t>
        </is>
      </c>
      <c r="L80" s="6" t="inlineStr">
        <is>
          <t>Aprobado</t>
        </is>
      </c>
      <c r="M80" s="5" t="inlineStr">
        <is>
          <t>2026-10-10</t>
        </is>
      </c>
      <c r="N80" s="5" t="inlineStr">
        <is>
          <t>katalon/evidencias/ · Excel (hoja Casos de Prueba Detallado)</t>
        </is>
      </c>
      <c r="O80" s="5" t="inlineStr">
        <is>
          <t>-</t>
        </is>
      </c>
    </row>
    <row r="81">
      <c r="A81" s="5" t="inlineStr">
        <is>
          <t>HU-24</t>
        </is>
      </c>
      <c r="B81" s="5" t="inlineStr">
        <is>
          <t>Editar bolsillo</t>
        </is>
      </c>
      <c r="C81" s="5" t="inlineStr">
        <is>
          <t>ESC036</t>
        </is>
      </c>
      <c r="D81" s="5" t="inlineStr">
        <is>
          <t>TC-120</t>
        </is>
      </c>
      <c r="E81" s="5" t="inlineStr">
        <is>
          <t>Aumentar el monto con saldo</t>
        </is>
      </c>
      <c r="F81" s="5" t="inlineStr">
        <is>
          <t>Integración</t>
        </is>
      </c>
      <c r="G81" s="5" t="inlineStr">
        <is>
          <t>Funcional</t>
        </is>
      </c>
      <c r="H81" s="5" t="inlineStr">
        <is>
          <t>Manual (caja negra) + Katalon Recorder</t>
        </is>
      </c>
      <c r="I81" s="5" t="inlineStr">
        <is>
          <t>Casos y Escenarios FuBank.xlsx · katalon/casos</t>
        </is>
      </c>
      <c r="J81" s="5" t="inlineStr">
        <is>
          <t>Se aumenta el monto con saldo disponible; el sistema actualiza el bolsillo y descuenta el saldo</t>
        </is>
      </c>
      <c r="K81" s="5" t="inlineStr">
        <is>
          <t>Según lo esperado</t>
        </is>
      </c>
      <c r="L81" s="6" t="inlineStr">
        <is>
          <t>Aprobado</t>
        </is>
      </c>
      <c r="M81" s="5" t="inlineStr">
        <is>
          <t>2026-10-10</t>
        </is>
      </c>
      <c r="N81" s="5" t="inlineStr">
        <is>
          <t>katalon/evidencias/ · Excel (hoja Casos de Prueba Detallado)</t>
        </is>
      </c>
      <c r="O81" s="5" t="inlineStr">
        <is>
          <t>-</t>
        </is>
      </c>
    </row>
    <row r="82">
      <c r="A82" s="5" t="inlineStr">
        <is>
          <t>HU-24</t>
        </is>
      </c>
      <c r="B82" s="5" t="inlineStr">
        <is>
          <t>Editar bolsillo</t>
        </is>
      </c>
      <c r="C82" s="5" t="inlineStr">
        <is>
          <t>ESC036</t>
        </is>
      </c>
      <c r="D82" s="5" t="inlineStr">
        <is>
          <t>TC-121</t>
        </is>
      </c>
      <c r="E82" s="5" t="inlineStr">
        <is>
          <t>Reducir el monto</t>
        </is>
      </c>
      <c r="F82" s="5" t="inlineStr">
        <is>
          <t>Integración</t>
        </is>
      </c>
      <c r="G82" s="5" t="inlineStr">
        <is>
          <t>Funcional</t>
        </is>
      </c>
      <c r="H82" s="5" t="inlineStr">
        <is>
          <t>Manual (caja negra) + Katalon Recorder</t>
        </is>
      </c>
      <c r="I82" s="5" t="inlineStr">
        <is>
          <t>Casos y Escenarios FuBank.xlsx · katalon/casos</t>
        </is>
      </c>
      <c r="J82" s="5" t="inlineStr">
        <is>
          <t>Se reduce el monto del bolsillo; el sistema devuelve la diferencia al saldo de la cuenta</t>
        </is>
      </c>
      <c r="K82" s="5" t="inlineStr">
        <is>
          <t>Según lo esperado</t>
        </is>
      </c>
      <c r="L82" s="6" t="inlineStr">
        <is>
          <t>Aprobado</t>
        </is>
      </c>
      <c r="M82" s="5" t="inlineStr">
        <is>
          <t>2026-10-10</t>
        </is>
      </c>
      <c r="N82" s="5" t="inlineStr">
        <is>
          <t>katalon/evidencias/ · Excel (hoja Casos de Prueba Detallado)</t>
        </is>
      </c>
      <c r="O82" s="5" t="inlineStr">
        <is>
          <t>-</t>
        </is>
      </c>
    </row>
    <row r="83">
      <c r="A83" s="5" t="inlineStr">
        <is>
          <t>HU-24</t>
        </is>
      </c>
      <c r="B83" s="5" t="inlineStr">
        <is>
          <t>Editar bolsillo</t>
        </is>
      </c>
      <c r="C83" s="5" t="inlineStr">
        <is>
          <t>ESC036</t>
        </is>
      </c>
      <c r="D83" s="5" t="inlineStr">
        <is>
          <t>TC-122</t>
        </is>
      </c>
      <c r="E83" s="5" t="inlineStr">
        <is>
          <t>Cambiar nombre y monto</t>
        </is>
      </c>
      <c r="F83" s="5" t="inlineStr">
        <is>
          <t>Integración</t>
        </is>
      </c>
      <c r="G83" s="5" t="inlineStr">
        <is>
          <t>Funcional</t>
        </is>
      </c>
      <c r="H83" s="5" t="inlineStr">
        <is>
          <t>Manual (caja negra) + Katalon Recorder</t>
        </is>
      </c>
      <c r="I83" s="5" t="inlineStr">
        <is>
          <t>Casos y Escenarios FuBank.xlsx · katalon/casos</t>
        </is>
      </c>
      <c r="J83" s="5" t="inlineStr">
        <is>
          <t>Se actualizan nombre y monto simultáneamente; el sistema guarda ambos cambios</t>
        </is>
      </c>
      <c r="K83" s="5" t="inlineStr">
        <is>
          <t>Según lo esperado</t>
        </is>
      </c>
      <c r="L83" s="6" t="inlineStr">
        <is>
          <t>Aprobado</t>
        </is>
      </c>
      <c r="M83" s="5" t="inlineStr">
        <is>
          <t>2026-10-10</t>
        </is>
      </c>
      <c r="N83" s="5" t="inlineStr">
        <is>
          <t>katalon/evidencias/ · Excel (hoja Casos de Prueba Detallado)</t>
        </is>
      </c>
      <c r="O83" s="5" t="inlineStr">
        <is>
          <t>-</t>
        </is>
      </c>
    </row>
    <row r="84">
      <c r="A84" s="5" t="inlineStr">
        <is>
          <t>HU-24</t>
        </is>
      </c>
      <c r="B84" s="5" t="inlineStr">
        <is>
          <t>Editar bolsillo</t>
        </is>
      </c>
      <c r="C84" s="5" t="inlineStr">
        <is>
          <t>ESC036</t>
        </is>
      </c>
      <c r="D84" s="5" t="inlineStr">
        <is>
          <t>TC-123</t>
        </is>
      </c>
      <c r="E84" s="5" t="inlineStr">
        <is>
          <t>Generación de notificación</t>
        </is>
      </c>
      <c r="F84" s="5" t="inlineStr">
        <is>
          <t>Integración</t>
        </is>
      </c>
      <c r="G84" s="5" t="inlineStr">
        <is>
          <t>Funcional</t>
        </is>
      </c>
      <c r="H84" s="5" t="inlineStr">
        <is>
          <t>Manual (caja negra) + Katalon Recorder</t>
        </is>
      </c>
      <c r="I84" s="5" t="inlineStr">
        <is>
          <t>Casos y Escenarios FuBank.xlsx · katalon/casos</t>
        </is>
      </c>
      <c r="J84" s="5" t="inlineStr">
        <is>
          <t>Al actualizar, el sistema registra la notificación "Bolsillo actualizado"</t>
        </is>
      </c>
      <c r="K84" s="5" t="inlineStr">
        <is>
          <t>Según lo esperado</t>
        </is>
      </c>
      <c r="L84" s="6" t="inlineStr">
        <is>
          <t>Aprobado</t>
        </is>
      </c>
      <c r="M84" s="5" t="inlineStr">
        <is>
          <t>2026-10-10</t>
        </is>
      </c>
      <c r="N84" s="5" t="inlineStr">
        <is>
          <t>katalon/evidencias/ · Excel (hoja Casos de Prueba Detallado)</t>
        </is>
      </c>
      <c r="O84" s="5" t="inlineStr">
        <is>
          <t>-</t>
        </is>
      </c>
    </row>
    <row r="85">
      <c r="A85" s="5" t="inlineStr">
        <is>
          <t>HU-24</t>
        </is>
      </c>
      <c r="B85" s="5" t="inlineStr">
        <is>
          <t>Editar bolsillo</t>
        </is>
      </c>
      <c r="C85" s="5" t="inlineStr">
        <is>
          <t>ESC037</t>
        </is>
      </c>
      <c r="D85" s="5" t="inlineStr">
        <is>
          <t>TC-124</t>
        </is>
      </c>
      <c r="E85" s="5" t="inlineStr">
        <is>
          <t>Aumento sin saldo suficiente</t>
        </is>
      </c>
      <c r="F85" s="5" t="inlineStr">
        <is>
          <t>Integración</t>
        </is>
      </c>
      <c r="G85" s="5" t="inlineStr">
        <is>
          <t>Funcional</t>
        </is>
      </c>
      <c r="H85" s="5" t="inlineStr">
        <is>
          <t>Manual (caja negra) + Katalon Recorder</t>
        </is>
      </c>
      <c r="I85" s="5" t="inlineStr">
        <is>
          <t>Casos y Escenarios FuBank.xlsx · katalon/casos</t>
        </is>
      </c>
      <c r="J85" s="5" t="inlineStr">
        <is>
          <t>Se aumenta el monto por encima del saldo disponible; el sistema lo rechaza (INSUFFICIENT_AVAILABLE_BALANCE)</t>
        </is>
      </c>
      <c r="K85" s="5" t="inlineStr">
        <is>
          <t>Según lo esperado</t>
        </is>
      </c>
      <c r="L85" s="6" t="inlineStr">
        <is>
          <t>Aprobado</t>
        </is>
      </c>
      <c r="M85" s="5" t="inlineStr">
        <is>
          <t>2026-10-10</t>
        </is>
      </c>
      <c r="N85" s="5" t="inlineStr">
        <is>
          <t>katalon/evidencias/ · Excel (hoja Casos de Prueba Detallado)</t>
        </is>
      </c>
      <c r="O85" s="5" t="inlineStr">
        <is>
          <t>-</t>
        </is>
      </c>
    </row>
    <row r="86">
      <c r="A86" s="5" t="inlineStr">
        <is>
          <t>HU-24</t>
        </is>
      </c>
      <c r="B86" s="5" t="inlineStr">
        <is>
          <t>Editar bolsillo</t>
        </is>
      </c>
      <c r="C86" s="5" t="inlineStr">
        <is>
          <t>ESC037</t>
        </is>
      </c>
      <c r="D86" s="5" t="inlineStr">
        <is>
          <t>TC-125</t>
        </is>
      </c>
      <c r="E86" s="5" t="inlineStr">
        <is>
          <t>Monto negativo</t>
        </is>
      </c>
      <c r="F86" s="5" t="inlineStr">
        <is>
          <t>Unitaria</t>
        </is>
      </c>
      <c r="G86" s="5" t="inlineStr">
        <is>
          <t>Funcional</t>
        </is>
      </c>
      <c r="H86" s="5" t="inlineStr">
        <is>
          <t>Manual (caja negra) + Katalon Recorder</t>
        </is>
      </c>
      <c r="I86" s="5" t="inlineStr">
        <is>
          <t>Casos y Escenarios FuBank.xlsx · katalon/casos</t>
        </is>
      </c>
      <c r="J86" s="5" t="inlineStr">
        <is>
          <t>Se actualiza con monto negativo; el sistema lo rechaza (INVALID_POCKET_AMOUNT)</t>
        </is>
      </c>
      <c r="K86" s="5" t="inlineStr">
        <is>
          <t>Según lo esperado</t>
        </is>
      </c>
      <c r="L86" s="6" t="inlineStr">
        <is>
          <t>Aprobado</t>
        </is>
      </c>
      <c r="M86" s="5" t="inlineStr">
        <is>
          <t>2026-10-10</t>
        </is>
      </c>
      <c r="N86" s="5" t="inlineStr">
        <is>
          <t>katalon/evidencias/ · Excel (hoja Casos de Prueba Detallado)</t>
        </is>
      </c>
      <c r="O86" s="5" t="inlineStr">
        <is>
          <t>-</t>
        </is>
      </c>
    </row>
    <row r="87">
      <c r="A87" s="5" t="inlineStr">
        <is>
          <t>HU-24</t>
        </is>
      </c>
      <c r="B87" s="5" t="inlineStr">
        <is>
          <t>Editar bolsillo</t>
        </is>
      </c>
      <c r="C87" s="5" t="inlineStr">
        <is>
          <t>ESC037</t>
        </is>
      </c>
      <c r="D87" s="5" t="inlineStr">
        <is>
          <t>TC-126</t>
        </is>
      </c>
      <c r="E87" s="5" t="inlineStr">
        <is>
          <t>Nombre vacío</t>
        </is>
      </c>
      <c r="F87" s="5" t="inlineStr">
        <is>
          <t>Unitaria</t>
        </is>
      </c>
      <c r="G87" s="5" t="inlineStr">
        <is>
          <t>Funcional</t>
        </is>
      </c>
      <c r="H87" s="5" t="inlineStr">
        <is>
          <t>Manual (caja negra) + Katalon Recorder</t>
        </is>
      </c>
      <c r="I87" s="5" t="inlineStr">
        <is>
          <t>Casos y Escenarios FuBank.xlsx · katalon/casos</t>
        </is>
      </c>
      <c r="J87" s="5" t="inlineStr">
        <is>
          <t>Se actualiza con nombre vacío; el sistema lo rechaza (INVALID_POCKET_NAME)</t>
        </is>
      </c>
      <c r="K87" s="5" t="inlineStr">
        <is>
          <t>Según lo esperado</t>
        </is>
      </c>
      <c r="L87" s="6" t="inlineStr">
        <is>
          <t>Aprobado</t>
        </is>
      </c>
      <c r="M87" s="5" t="inlineStr">
        <is>
          <t>2026-10-10</t>
        </is>
      </c>
      <c r="N87" s="5" t="inlineStr">
        <is>
          <t>katalon/evidencias/ · Excel (hoja Casos de Prueba Detallado)</t>
        </is>
      </c>
      <c r="O87" s="5" t="inlineStr">
        <is>
          <t>-</t>
        </is>
      </c>
    </row>
    <row r="88">
      <c r="A88" s="5" t="inlineStr">
        <is>
          <t>HU-24</t>
        </is>
      </c>
      <c r="B88" s="5" t="inlineStr">
        <is>
          <t>Editar bolsillo</t>
        </is>
      </c>
      <c r="C88" s="5" t="inlineStr">
        <is>
          <t>ESC037</t>
        </is>
      </c>
      <c r="D88" s="5" t="inlineStr">
        <is>
          <t>TC-127</t>
        </is>
      </c>
      <c r="E88" s="5" t="inlineStr">
        <is>
          <t>Bolsillo inexistente</t>
        </is>
      </c>
      <c r="F88" s="5" t="inlineStr">
        <is>
          <t>Unitaria</t>
        </is>
      </c>
      <c r="G88" s="5" t="inlineStr">
        <is>
          <t>Funcional</t>
        </is>
      </c>
      <c r="H88" s="5" t="inlineStr">
        <is>
          <t>Manual (caja negra) + Katalon Recorder</t>
        </is>
      </c>
      <c r="I88" s="5" t="inlineStr">
        <is>
          <t>Casos y Escenarios FuBank.xlsx · katalon/casos</t>
        </is>
      </c>
      <c r="J88" s="5" t="inlineStr">
        <is>
          <t>Se intenta actualizar un pocketId inexistente; el sistema responde POCKET_NOT_FOUND</t>
        </is>
      </c>
      <c r="K88" s="5" t="inlineStr">
        <is>
          <t>Según lo esperado</t>
        </is>
      </c>
      <c r="L88" s="6" t="inlineStr">
        <is>
          <t>Aprobado</t>
        </is>
      </c>
      <c r="M88" s="5" t="inlineStr">
        <is>
          <t>2026-10-10</t>
        </is>
      </c>
      <c r="N88" s="5" t="inlineStr">
        <is>
          <t>katalon/evidencias/ · Excel (hoja Casos de Prueba Detallado)</t>
        </is>
      </c>
      <c r="O88" s="5" t="inlineStr">
        <is>
          <t>-</t>
        </is>
      </c>
    </row>
    <row r="89">
      <c r="A89" s="5" t="inlineStr">
        <is>
          <t>HU-24</t>
        </is>
      </c>
      <c r="B89" s="5" t="inlineStr">
        <is>
          <t>Editar bolsillo</t>
        </is>
      </c>
      <c r="C89" s="5" t="inlineStr">
        <is>
          <t>03 Editar bolsillo</t>
        </is>
      </c>
      <c r="D89" s="5" t="inlineStr">
        <is>
          <t>PM-ED-01</t>
        </is>
      </c>
      <c r="E89" s="5" t="inlineStr">
        <is>
          <t>Renombrar "Vacaciones" a "Viaje a Cartagena"</t>
        </is>
      </c>
      <c r="F89" s="5" t="inlineStr">
        <is>
          <t>Integración (API)</t>
        </is>
      </c>
      <c r="G89" s="5" t="inlineStr">
        <is>
          <t>Funcional</t>
        </is>
      </c>
      <c r="H89" s="5" t="inlineStr">
        <is>
          <t>Postman + Newman (herramienta IA 2)</t>
        </is>
      </c>
      <c r="I89" s="5" t="inlineStr">
        <is>
          <t>02-postman-postbot/FuBanking-Bolsillos.postman_collection.json</t>
        </is>
      </c>
      <c r="J89" s="5" t="inlineStr">
        <is>
          <t>200, nombre nuevo y monto 100.000.</t>
        </is>
      </c>
      <c r="K89" s="5" t="inlineStr">
        <is>
          <t>4/4 aserciones correctas</t>
        </is>
      </c>
      <c r="L89" s="6" t="inlineStr">
        <is>
          <t>Aprobado</t>
        </is>
      </c>
      <c r="M89" s="5" t="inlineStr">
        <is>
          <t>2026-10-26</t>
        </is>
      </c>
      <c r="N89" s="5" t="inlineStr">
        <is>
          <t>02-postman-postbot/evidence/newman-report.html</t>
        </is>
      </c>
      <c r="O89" s="5" t="inlineStr">
        <is>
          <t>-</t>
        </is>
      </c>
    </row>
    <row r="90">
      <c r="A90" s="5" t="inlineStr">
        <is>
          <t>HU-24</t>
        </is>
      </c>
      <c r="B90" s="5" t="inlineStr">
        <is>
          <t>Editar bolsillo</t>
        </is>
      </c>
      <c r="C90" s="5" t="inlineStr">
        <is>
          <t>03 Editar bolsillo</t>
        </is>
      </c>
      <c r="D90" s="5" t="inlineStr">
        <is>
          <t>PM-ED-02</t>
        </is>
      </c>
      <c r="E90" s="5" t="inlineStr">
        <is>
          <t>Aumentar el monto a 150.000</t>
        </is>
      </c>
      <c r="F90" s="5" t="inlineStr">
        <is>
          <t>Integración (API)</t>
        </is>
      </c>
      <c r="G90" s="5" t="inlineStr">
        <is>
          <t>Funcional</t>
        </is>
      </c>
      <c r="H90" s="5" t="inlineStr">
        <is>
          <t>Postman + Newman (herramienta IA 2)</t>
        </is>
      </c>
      <c r="I90" s="5" t="inlineStr">
        <is>
          <t>02-postman-postbot/FuBanking-Bolsillos.postman_collection.json</t>
        </is>
      </c>
      <c r="J90" s="5" t="inlineStr">
        <is>
          <t>200 y saldo 300.000 (350.000 − 50.000).</t>
        </is>
      </c>
      <c r="K90" s="5" t="inlineStr">
        <is>
          <t>4/4 aserciones correctas</t>
        </is>
      </c>
      <c r="L90" s="6" t="inlineStr">
        <is>
          <t>Aprobado</t>
        </is>
      </c>
      <c r="M90" s="5" t="inlineStr">
        <is>
          <t>2026-10-26</t>
        </is>
      </c>
      <c r="N90" s="5" t="inlineStr">
        <is>
          <t>02-postman-postbot/evidence/newman-report.html</t>
        </is>
      </c>
      <c r="O90" s="5" t="inlineStr">
        <is>
          <t>-</t>
        </is>
      </c>
    </row>
    <row r="91">
      <c r="A91" s="5" t="inlineStr">
        <is>
          <t>HU-24</t>
        </is>
      </c>
      <c r="B91" s="5" t="inlineStr">
        <is>
          <t>Editar bolsillo</t>
        </is>
      </c>
      <c r="C91" s="5" t="inlineStr">
        <is>
          <t>03 Editar bolsillo</t>
        </is>
      </c>
      <c r="D91" s="5" t="inlineStr">
        <is>
          <t>PM-ED-03</t>
        </is>
      </c>
      <c r="E91" s="5" t="inlineStr">
        <is>
          <t>Rechazar un monto por encima del dinero total</t>
        </is>
      </c>
      <c r="F91" s="5" t="inlineStr">
        <is>
          <t>Integración (API)</t>
        </is>
      </c>
      <c r="G91" s="5" t="inlineStr">
        <is>
          <t>Funcional</t>
        </is>
      </c>
      <c r="H91" s="5" t="inlineStr">
        <is>
          <t>Postman + Newman (herramienta IA 2)</t>
        </is>
      </c>
      <c r="I91" s="5" t="inlineStr">
        <is>
          <t>02-postman-postbot/FuBanking-Bolsillos.postman_collection.json</t>
        </is>
      </c>
      <c r="J91" s="5" t="inlineStr">
        <is>
          <t>400 INSUFFICIENT_AVAILABLE_BALANCE y nada cambia.</t>
        </is>
      </c>
      <c r="K91" s="5" t="inlineStr">
        <is>
          <t>5/5 aserciones correctas</t>
        </is>
      </c>
      <c r="L91" s="6" t="inlineStr">
        <is>
          <t>Aprobado</t>
        </is>
      </c>
      <c r="M91" s="5" t="inlineStr">
        <is>
          <t>2026-10-26</t>
        </is>
      </c>
      <c r="N91" s="5" t="inlineStr">
        <is>
          <t>02-postman-postbot/evidence/newman-report.html</t>
        </is>
      </c>
      <c r="O91" s="5" t="inlineStr">
        <is>
          <t>-</t>
        </is>
      </c>
    </row>
    <row r="92">
      <c r="A92" s="5" t="inlineStr">
        <is>
          <t>HU-24</t>
        </is>
      </c>
      <c r="B92" s="5" t="inlineStr">
        <is>
          <t>Editar bolsillo</t>
        </is>
      </c>
      <c r="C92" s="5" t="inlineStr">
        <is>
          <t>editar_bolsillo.feature</t>
        </is>
      </c>
      <c r="D92" s="5" t="inlineStr">
        <is>
          <t>SJ-EDI-01</t>
        </is>
      </c>
      <c r="E92" s="5" t="inlineStr">
        <is>
          <t>Renombrar un bolsillo conserva su saldo</t>
        </is>
      </c>
      <c r="F92" s="5" t="inlineStr">
        <is>
          <t>Integración (API)</t>
        </is>
      </c>
      <c r="G92" s="5" t="inlineStr">
        <is>
          <t>Funcional</t>
        </is>
      </c>
      <c r="H92" s="5" t="inlineStr">
        <is>
          <t>Serenity/JS Screenplay + Gherkin</t>
        </is>
      </c>
      <c r="I92" s="5" t="inlineStr">
        <is>
          <t>e2e/serenity/features/editar_bolsillo.feature</t>
        </is>
      </c>
      <c r="J92" s="5" t="inlineStr">
        <is>
          <t>la respuesta HTTP tiene estado 200; su bolsillo "Viaje a Cartagena" tiene 100000</t>
        </is>
      </c>
      <c r="K92" s="5" t="inlineStr">
        <is>
          <t>Todos los pasos pasaron</t>
        </is>
      </c>
      <c r="L92" s="6" t="inlineStr">
        <is>
          <t>Aprobado</t>
        </is>
      </c>
      <c r="M92" s="5" t="inlineStr">
        <is>
          <t>2026-10-26</t>
        </is>
      </c>
      <c r="N92" s="5" t="inlineStr">
        <is>
          <t>e2e/serenity/reports/serenity-js (HTML)</t>
        </is>
      </c>
      <c r="O92" s="5" t="inlineStr">
        <is>
          <t>-</t>
        </is>
      </c>
    </row>
    <row r="93">
      <c r="A93" s="5" t="inlineStr">
        <is>
          <t>HU-24</t>
        </is>
      </c>
      <c r="B93" s="5" t="inlineStr">
        <is>
          <t>Editar bolsillo</t>
        </is>
      </c>
      <c r="C93" s="5" t="inlineStr">
        <is>
          <t>editar_bolsillo.feature</t>
        </is>
      </c>
      <c r="D93" s="5" t="inlineStr">
        <is>
          <t>SJ-EDI-02</t>
        </is>
      </c>
      <c r="E93" s="5" t="inlineStr">
        <is>
          <t>Aumentar el monto de un bolsillo descuenta la diferencia de la cuenta</t>
        </is>
      </c>
      <c r="F93" s="5" t="inlineStr">
        <is>
          <t>Integración (API)</t>
        </is>
      </c>
      <c r="G93" s="5" t="inlineStr">
        <is>
          <t>Funcional</t>
        </is>
      </c>
      <c r="H93" s="5" t="inlineStr">
        <is>
          <t>Serenity/JS Screenplay + Gherkin</t>
        </is>
      </c>
      <c r="I93" s="5" t="inlineStr">
        <is>
          <t>e2e/serenity/features/editar_bolsillo.feature</t>
        </is>
      </c>
      <c r="J93" s="5" t="inlineStr">
        <is>
          <t>la respuesta HTTP tiene estado 200; su bolsillo "Vacaciones" tiene 150000; el saldo de su cuenta es 350000</t>
        </is>
      </c>
      <c r="K93" s="5" t="inlineStr">
        <is>
          <t>Todos los pasos pasaron</t>
        </is>
      </c>
      <c r="L93" s="6" t="inlineStr">
        <is>
          <t>Aprobado</t>
        </is>
      </c>
      <c r="M93" s="5" t="inlineStr">
        <is>
          <t>2026-10-26</t>
        </is>
      </c>
      <c r="N93" s="5" t="inlineStr">
        <is>
          <t>e2e/serenity/reports/serenity-js (HTML)</t>
        </is>
      </c>
      <c r="O93" s="5" t="inlineStr">
        <is>
          <t>-</t>
        </is>
      </c>
    </row>
    <row r="94">
      <c r="A94" s="5" t="inlineStr">
        <is>
          <t>HU-24</t>
        </is>
      </c>
      <c r="B94" s="5" t="inlineStr">
        <is>
          <t>Editar bolsillo</t>
        </is>
      </c>
      <c r="C94" s="5" t="inlineStr">
        <is>
          <t>editar_bolsillo.feature</t>
        </is>
      </c>
      <c r="D94" s="5" t="inlineStr">
        <is>
          <t>SJ-EDI-03</t>
        </is>
      </c>
      <c r="E94" s="5" t="inlineStr">
        <is>
          <t>Disminuir el monto de un bolsillo devuelve la diferencia a la cuenta</t>
        </is>
      </c>
      <c r="F94" s="5" t="inlineStr">
        <is>
          <t>Integración (API)</t>
        </is>
      </c>
      <c r="G94" s="5" t="inlineStr">
        <is>
          <t>Funcional</t>
        </is>
      </c>
      <c r="H94" s="5" t="inlineStr">
        <is>
          <t>Serenity/JS Screenplay + Gherkin</t>
        </is>
      </c>
      <c r="I94" s="5" t="inlineStr">
        <is>
          <t>e2e/serenity/features/editar_bolsillo.feature</t>
        </is>
      </c>
      <c r="J94" s="5" t="inlineStr">
        <is>
          <t>la respuesta HTTP tiene estado 200; su bolsillo "Vacaciones" tiene 40000; el saldo de su cuenta es 460000</t>
        </is>
      </c>
      <c r="K94" s="5" t="inlineStr">
        <is>
          <t>Todos los pasos pasaron</t>
        </is>
      </c>
      <c r="L94" s="6" t="inlineStr">
        <is>
          <t>Aprobado</t>
        </is>
      </c>
      <c r="M94" s="5" t="inlineStr">
        <is>
          <t>2026-10-26</t>
        </is>
      </c>
      <c r="N94" s="5" t="inlineStr">
        <is>
          <t>e2e/serenity/reports/serenity-js (HTML)</t>
        </is>
      </c>
      <c r="O94" s="5" t="inlineStr">
        <is>
          <t>-</t>
        </is>
      </c>
    </row>
    <row r="95">
      <c r="A95" s="5" t="inlineStr">
        <is>
          <t>HU-24</t>
        </is>
      </c>
      <c r="B95" s="5" t="inlineStr">
        <is>
          <t>Editar bolsillo</t>
        </is>
      </c>
      <c r="C95" s="5" t="inlineStr">
        <is>
          <t>editar_bolsillo.feature</t>
        </is>
      </c>
      <c r="D95" s="5" t="inlineStr">
        <is>
          <t>SJ-EDI-04</t>
        </is>
      </c>
      <c r="E95" s="5" t="inlineStr">
        <is>
          <t>No se puede ajustar un bolsillo por encima del dinero total</t>
        </is>
      </c>
      <c r="F95" s="5" t="inlineStr">
        <is>
          <t>Integración (API)</t>
        </is>
      </c>
      <c r="G95" s="5" t="inlineStr">
        <is>
          <t>Funcional</t>
        </is>
      </c>
      <c r="H95" s="5" t="inlineStr">
        <is>
          <t>Serenity/JS Screenplay + Gherkin</t>
        </is>
      </c>
      <c r="I95" s="5" t="inlineStr">
        <is>
          <t>e2e/serenity/features/editar_bolsillo.feature</t>
        </is>
      </c>
      <c r="J95" s="5" t="inlineStr">
        <is>
          <t>la respuesta HTTP tiene estado 400; el código de error es "INSUFFICIENT_AVAILABLE_BALANCE"; el saldo de su cuenta es 400000</t>
        </is>
      </c>
      <c r="K95" s="5" t="inlineStr">
        <is>
          <t>Todos los pasos pasaron</t>
        </is>
      </c>
      <c r="L95" s="6" t="inlineStr">
        <is>
          <t>Aprobado</t>
        </is>
      </c>
      <c r="M95" s="5" t="inlineStr">
        <is>
          <t>2026-10-26</t>
        </is>
      </c>
      <c r="N95" s="5" t="inlineStr">
        <is>
          <t>e2e/serenity/reports/serenity-js (HTML)</t>
        </is>
      </c>
      <c r="O95" s="5" t="inlineStr">
        <is>
          <t>-</t>
        </is>
      </c>
    </row>
    <row r="96">
      <c r="A96" s="5" t="inlineStr">
        <is>
          <t>HU-24</t>
        </is>
      </c>
      <c r="B96" s="5" t="inlineStr">
        <is>
          <t>Editar bolsillo</t>
        </is>
      </c>
      <c r="C96" s="5" t="inlineStr">
        <is>
          <t>editar_bolsillo.feature</t>
        </is>
      </c>
      <c r="D96" s="5" t="inlineStr">
        <is>
          <t>SJ-EDI-05</t>
        </is>
      </c>
      <c r="E96" s="5" t="inlineStr">
        <is>
          <t>Renombrar un bolsillo desde la pantalla</t>
        </is>
      </c>
      <c r="F96" s="5" t="inlineStr">
        <is>
          <t>Sistema (E2E UI)</t>
        </is>
      </c>
      <c r="G96" s="5" t="inlineStr">
        <is>
          <t>Funcional</t>
        </is>
      </c>
      <c r="H96" s="5" t="inlineStr">
        <is>
          <t>Serenity/JS Screenplay + Gherkin</t>
        </is>
      </c>
      <c r="I96" s="5" t="inlineStr">
        <is>
          <t>e2e/serenity/features/editar_bolsillo.feature</t>
        </is>
      </c>
      <c r="J96" s="5" t="inlineStr">
        <is>
          <t>ella ve la notificación "Bolsillo actualizado"; ella ve el bolsillo "Viaje a Cartagena" con 100000</t>
        </is>
      </c>
      <c r="K96" s="5" t="inlineStr">
        <is>
          <t>Todos los pasos pasaron</t>
        </is>
      </c>
      <c r="L96" s="6" t="inlineStr">
        <is>
          <t>Aprobado</t>
        </is>
      </c>
      <c r="M96" s="5" t="inlineStr">
        <is>
          <t>2026-10-26</t>
        </is>
      </c>
      <c r="N96" s="5" t="inlineStr">
        <is>
          <t>e2e/serenity/reports/serenity-js (HTML)</t>
        </is>
      </c>
      <c r="O96" s="5" t="inlineStr">
        <is>
          <t>-</t>
        </is>
      </c>
    </row>
    <row r="97">
      <c r="A97" s="5" t="inlineStr">
        <is>
          <t>HU-24</t>
        </is>
      </c>
      <c r="B97" s="5" t="inlineStr">
        <is>
          <t>Editar bolsillo</t>
        </is>
      </c>
      <c r="C97" s="5" t="inlineStr">
        <is>
          <t>Stagehand + Claude</t>
        </is>
      </c>
      <c r="D97" s="5" t="inlineStr">
        <is>
          <t>SH-B03</t>
        </is>
      </c>
      <c r="E97" s="5" t="inlineStr">
        <is>
          <t>La IA renombra un bolsillo y aumenta su monto desde el formulario de edición. (act + extract)</t>
        </is>
      </c>
      <c r="F97" s="5" t="inlineStr">
        <is>
          <t>Sistema (E2E UI con IA)</t>
        </is>
      </c>
      <c r="G97" s="5" t="inlineStr">
        <is>
          <t>Funcional</t>
        </is>
      </c>
      <c r="H97" s="5" t="inlineStr">
        <is>
          <t>Stagehand (act/observe/extract)</t>
        </is>
      </c>
      <c r="I97" s="5" t="inlineStr">
        <is>
          <t>e2e/stagehand/src/bolsillos/scenarios.ts</t>
        </is>
      </c>
      <c r="J97" s="5" t="inlineStr">
        <is>
          <t>Toast "Bolsillo actualizado", bolsillo "Viaje a Cartagena" con 150.000 y saldo de la cuenta en 350.000.</t>
        </is>
      </c>
      <c r="K97" s="5" t="inlineStr">
        <is>
          <t>4/4 validaciones correctas</t>
        </is>
      </c>
      <c r="L97" s="6" t="inlineStr">
        <is>
          <t>Aprobado</t>
        </is>
      </c>
      <c r="M97" s="5" t="inlineStr">
        <is>
          <t>2026-10-26</t>
        </is>
      </c>
      <c r="N97" s="5" t="inlineStr">
        <is>
          <t>e2e/stagehand/evidence/bolsillos/SH-B03-*.png · SH-B03-report.json</t>
        </is>
      </c>
      <c r="O97" s="5" t="inlineStr">
        <is>
          <t>-</t>
        </is>
      </c>
    </row>
    <row r="98">
      <c r="A98" s="5" t="inlineStr">
        <is>
          <t>HU-24</t>
        </is>
      </c>
      <c r="B98" s="5" t="inlineStr">
        <is>
          <t>Editar bolsillo</t>
        </is>
      </c>
      <c r="C98" s="5" t="inlineStr">
        <is>
          <t>Suite automatizada</t>
        </is>
      </c>
      <c r="D98" s="5" t="inlineStr">
        <is>
          <t>VT-UpdatePocket</t>
        </is>
      </c>
      <c r="E98" s="5" t="inlineStr">
        <is>
          <t>UpdatePocket.test.ts (15 pruebas)</t>
        </is>
      </c>
      <c r="F98" s="5" t="inlineStr">
        <is>
          <t>Unitaria / Integración</t>
        </is>
      </c>
      <c r="G98" s="5" t="inlineStr">
        <is>
          <t>Funcional (regresión)</t>
        </is>
      </c>
      <c r="H98" s="5" t="inlineStr">
        <is>
          <t>Vitest · regresión + unitarias (AAA, 5 dobles)</t>
        </is>
      </c>
      <c r="I98" s="5" t="inlineStr">
        <is>
          <t>UpdatePocket.test.ts</t>
        </is>
      </c>
      <c r="J98" s="5" t="inlineStr">
        <is>
          <t>Todas las pruebas del archivo pasan (incluye `it.fails` de defectos abiertos)</t>
        </is>
      </c>
      <c r="K98" s="5" t="inlineStr">
        <is>
          <t>15/15 pasan</t>
        </is>
      </c>
      <c r="L98" s="6" t="inlineStr">
        <is>
          <t>Aprobado</t>
        </is>
      </c>
      <c r="M98" s="5" t="inlineStr">
        <is>
          <t>2026-10-26</t>
        </is>
      </c>
      <c r="N98" s="5" t="inlineStr">
        <is>
          <t>docs/evidencia-final-bolsillos/vitest-regresion.json</t>
        </is>
      </c>
      <c r="O98" s="5" t="inlineStr">
        <is>
          <t>-</t>
        </is>
      </c>
    </row>
    <row r="99">
      <c r="A99" s="5" t="inlineStr">
        <is>
          <t>HU-24</t>
        </is>
      </c>
      <c r="B99" s="5" t="inlineStr">
        <is>
          <t>Editar bolsillo</t>
        </is>
      </c>
      <c r="C99" s="5" t="inlineStr">
        <is>
          <t>Suite automatizada</t>
        </is>
      </c>
      <c r="D99" s="5" t="inlineStr">
        <is>
          <t>VT-actualizar</t>
        </is>
      </c>
      <c r="E99" s="5" t="inlineStr">
        <is>
          <t>actualizar.regression.test.ts (19 pruebas)</t>
        </is>
      </c>
      <c r="F99" s="5" t="inlineStr">
        <is>
          <t>Unitaria / Integración</t>
        </is>
      </c>
      <c r="G99" s="5" t="inlineStr">
        <is>
          <t>Funcional (regresión)</t>
        </is>
      </c>
      <c r="H99" s="5" t="inlineStr">
        <is>
          <t>Vitest · regresión + unitarias (AAA, 5 dobles)</t>
        </is>
      </c>
      <c r="I99" s="5" t="inlineStr">
        <is>
          <t>actualizar.regression.test.ts</t>
        </is>
      </c>
      <c r="J99" s="5" t="inlineStr">
        <is>
          <t>Todas las pruebas del archivo pasan (incluye `it.fails` de defectos abiertos)</t>
        </is>
      </c>
      <c r="K99" s="5" t="inlineStr">
        <is>
          <t>19/19 pasan</t>
        </is>
      </c>
      <c r="L99" s="6" t="inlineStr">
        <is>
          <t>Aprobado</t>
        </is>
      </c>
      <c r="M99" s="5" t="inlineStr">
        <is>
          <t>2026-10-26</t>
        </is>
      </c>
      <c r="N99" s="5" t="inlineStr">
        <is>
          <t>docs/evidencia-final-bolsillos/vitest-regresion.json</t>
        </is>
      </c>
      <c r="O99" s="5" t="inlineStr">
        <is>
          <t>-</t>
        </is>
      </c>
    </row>
    <row r="100">
      <c r="A100" s="5" t="inlineStr">
        <is>
          <t>HU-25</t>
        </is>
      </c>
      <c r="B100" s="5" t="inlineStr">
        <is>
          <t>Eliminar bolsillo</t>
        </is>
      </c>
      <c r="C100" s="5" t="inlineStr">
        <is>
          <t>accesibilidad.feature</t>
        </is>
      </c>
      <c r="D100" s="5" t="inlineStr">
        <is>
          <t>CY-ACC-02</t>
        </is>
      </c>
      <c r="E100" s="5" t="inlineStr">
        <is>
          <t>El diálogo para eliminar un bolsillo es accesible</t>
        </is>
      </c>
      <c r="F100" s="5" t="inlineStr">
        <is>
          <t>Sistema (E2E UI)</t>
        </is>
      </c>
      <c r="G100" s="5" t="inlineStr">
        <is>
          <t>Accesibilidad</t>
        </is>
      </c>
      <c r="H100" s="5" t="inlineStr">
        <is>
          <t>Cypress + Gherkin (cucumber-preprocessor)</t>
        </is>
      </c>
      <c r="I100" s="5" t="inlineStr">
        <is>
          <t>e2e/serenity/features · cypress/bolsillos/features/accesibilidad.feature</t>
        </is>
      </c>
      <c r="J100" s="5" t="inlineStr">
        <is>
          <t>el diálogo no tiene violaciones de accesibilidad graves</t>
        </is>
      </c>
      <c r="K100" s="5" t="inlineStr">
        <is>
          <t>Todos los pasos pasaron</t>
        </is>
      </c>
      <c r="L100" s="6" t="inlineStr">
        <is>
          <t>Aprobado</t>
        </is>
      </c>
      <c r="M100" s="5" t="inlineStr">
        <is>
          <t>2026-10-26</t>
        </is>
      </c>
      <c r="N100" s="5" t="inlineStr">
        <is>
          <t>cypress/reports/bolsillos/cucumber-report.html</t>
        </is>
      </c>
      <c r="O100" s="5" t="inlineStr">
        <is>
          <t>-</t>
        </is>
      </c>
    </row>
    <row r="101">
      <c r="A101" s="5" t="inlineStr">
        <is>
          <t>HU-25</t>
        </is>
      </c>
      <c r="B101" s="5" t="inlineStr">
        <is>
          <t>Eliminar bolsillo</t>
        </is>
      </c>
      <c r="C101" s="5" t="inlineStr">
        <is>
          <t>eliminar_bolsillo.feature</t>
        </is>
      </c>
      <c r="D101" s="5" t="inlineStr">
        <is>
          <t>CY-ELI-01</t>
        </is>
      </c>
      <c r="E101" s="5" t="inlineStr">
        <is>
          <t>Eliminar un bolsillo devuelve su saldo a la cuenta</t>
        </is>
      </c>
      <c r="F101" s="5" t="inlineStr">
        <is>
          <t>Integración (API)</t>
        </is>
      </c>
      <c r="G101" s="5" t="inlineStr">
        <is>
          <t>Funcional</t>
        </is>
      </c>
      <c r="H101" s="5" t="inlineStr">
        <is>
          <t>Cypress + Gherkin (cucumber-preprocessor)</t>
        </is>
      </c>
      <c r="I101" s="5" t="inlineStr">
        <is>
          <t>e2e/serenity/features · cypress/bolsillos/features/eliminar_bolsillo.feature</t>
        </is>
      </c>
      <c r="J101" s="5" t="inlineStr">
        <is>
          <t>la respuesta HTTP tiene estado 200; el saldo de su cuenta es 500000; su cuenta no tiene bolsillos</t>
        </is>
      </c>
      <c r="K101" s="5" t="inlineStr">
        <is>
          <t>Todos los pasos pasaron</t>
        </is>
      </c>
      <c r="L101" s="6" t="inlineStr">
        <is>
          <t>Aprobado</t>
        </is>
      </c>
      <c r="M101" s="5" t="inlineStr">
        <is>
          <t>2026-10-26</t>
        </is>
      </c>
      <c r="N101" s="5" t="inlineStr">
        <is>
          <t>cypress/reports/bolsillos/cucumber-report.html</t>
        </is>
      </c>
      <c r="O101" s="5" t="inlineStr">
        <is>
          <t>-</t>
        </is>
      </c>
    </row>
    <row r="102">
      <c r="A102" s="5" t="inlineStr">
        <is>
          <t>HU-25</t>
        </is>
      </c>
      <c r="B102" s="5" t="inlineStr">
        <is>
          <t>Eliminar bolsillo</t>
        </is>
      </c>
      <c r="C102" s="5" t="inlineStr">
        <is>
          <t>eliminar_bolsillo.feature</t>
        </is>
      </c>
      <c r="D102" s="5" t="inlineStr">
        <is>
          <t>CY-ELI-02</t>
        </is>
      </c>
      <c r="E102" s="5" t="inlineStr">
        <is>
          <t>No se puede eliminar el bolsillo de otro cliente</t>
        </is>
      </c>
      <c r="F102" s="5" t="inlineStr">
        <is>
          <t>Integración (API)</t>
        </is>
      </c>
      <c r="G102" s="5" t="inlineStr">
        <is>
          <t>Seguridad</t>
        </is>
      </c>
      <c r="H102" s="5" t="inlineStr">
        <is>
          <t>Cypress + Gherkin (cucumber-preprocessor)</t>
        </is>
      </c>
      <c r="I102" s="5" t="inlineStr">
        <is>
          <t>e2e/serenity/features · cypress/bolsillos/features/eliminar_bolsillo.feature</t>
        </is>
      </c>
      <c r="J102" s="5" t="inlineStr">
        <is>
          <t>la respuesta HTTP tiene estado 403; el código de error es "FORBIDDEN"; el saldo de la cuenta de Bruno es 50000</t>
        </is>
      </c>
      <c r="K102" s="5" t="inlineStr">
        <is>
          <t>Todos los pasos pasaron</t>
        </is>
      </c>
      <c r="L102" s="6" t="inlineStr">
        <is>
          <t>Aprobado</t>
        </is>
      </c>
      <c r="M102" s="5" t="inlineStr">
        <is>
          <t>2026-10-26</t>
        </is>
      </c>
      <c r="N102" s="5" t="inlineStr">
        <is>
          <t>cypress/reports/bolsillos/cucumber-report.html</t>
        </is>
      </c>
      <c r="O102" s="5" t="inlineStr">
        <is>
          <t>-</t>
        </is>
      </c>
    </row>
    <row r="103">
      <c r="A103" s="5" t="inlineStr">
        <is>
          <t>HU-25</t>
        </is>
      </c>
      <c r="B103" s="5" t="inlineStr">
        <is>
          <t>Eliminar bolsillo</t>
        </is>
      </c>
      <c r="C103" s="5" t="inlineStr">
        <is>
          <t>eliminar_bolsillo.feature</t>
        </is>
      </c>
      <c r="D103" s="5" t="inlineStr">
        <is>
          <t>CY-ELI-03</t>
        </is>
      </c>
      <c r="E103" s="5" t="inlineStr">
        <is>
          <t>Eliminar un bolsillo desde la pantalla con confirmación</t>
        </is>
      </c>
      <c r="F103" s="5" t="inlineStr">
        <is>
          <t>Sistema (E2E UI)</t>
        </is>
      </c>
      <c r="G103" s="5" t="inlineStr">
        <is>
          <t>Funcional</t>
        </is>
      </c>
      <c r="H103" s="5" t="inlineStr">
        <is>
          <t>Cypress + Gherkin (cucumber-preprocessor)</t>
        </is>
      </c>
      <c r="I103" s="5" t="inlineStr">
        <is>
          <t>e2e/serenity/features · cypress/bolsillos/features/eliminar_bolsillo.feature</t>
        </is>
      </c>
      <c r="J103" s="5" t="inlineStr">
        <is>
          <t>ella ve la notificación "Bolsillo eliminado"; ella ve que su cuenta no tiene bolsillos; el saldo de su cuenta es 500000</t>
        </is>
      </c>
      <c r="K103" s="5" t="inlineStr">
        <is>
          <t>Todos los pasos pasaron</t>
        </is>
      </c>
      <c r="L103" s="6" t="inlineStr">
        <is>
          <t>Aprobado</t>
        </is>
      </c>
      <c r="M103" s="5" t="inlineStr">
        <is>
          <t>2026-10-26</t>
        </is>
      </c>
      <c r="N103" s="5" t="inlineStr">
        <is>
          <t>cypress/reports/bolsillos/cucumber-report.html</t>
        </is>
      </c>
      <c r="O103" s="5" t="inlineStr">
        <is>
          <t>-</t>
        </is>
      </c>
    </row>
    <row r="104">
      <c r="A104" s="5" t="inlineStr">
        <is>
          <t>HU-25</t>
        </is>
      </c>
      <c r="B104" s="5" t="inlineStr">
        <is>
          <t>Eliminar bolsillo</t>
        </is>
      </c>
      <c r="C104" s="5" t="inlineStr">
        <is>
          <t>Keploy test-set-0</t>
        </is>
      </c>
      <c r="D104" s="5" t="inlineStr">
        <is>
          <t>KP-delete-api-v1-pockets-by-id-1</t>
        </is>
      </c>
      <c r="E104" s="5" t="inlineStr">
        <is>
          <t>delete-api-v1-pockets-by-id-1</t>
        </is>
      </c>
      <c r="F104" s="5" t="inlineStr">
        <is>
          <t>Integración (API, mocks de Supabase)</t>
        </is>
      </c>
      <c r="G104" s="5" t="inlineStr">
        <is>
          <t>Regresión</t>
        </is>
      </c>
      <c r="H104" s="5" t="inlineStr">
        <is>
          <t>Keploy (herramienta IA 3)</t>
        </is>
      </c>
      <c r="I104" s="5" t="inlineStr">
        <is>
          <t>03-keploy/evidence/test-set-0-saneado/tests/delete-api-v1-pockets-by-id-1.yaml</t>
        </is>
      </c>
      <c r="J104" s="5" t="inlineStr">
        <is>
          <t>Respuesta igual a la grabada (ruido declarado: data.token, data.id, Etag)</t>
        </is>
      </c>
      <c r="K104" s="5" t="inlineStr">
        <is>
          <t>Reproducida sin Supabase, igual a la grabada</t>
        </is>
      </c>
      <c r="L104" s="6" t="inlineStr">
        <is>
          <t>Aprobado</t>
        </is>
      </c>
      <c r="M104" s="5" t="inlineStr">
        <is>
          <t>2026-10-26</t>
        </is>
      </c>
      <c r="N104" s="5" t="inlineStr">
        <is>
          <t>03-keploy/evidence/02-replay-con-ruido-50-de-50.txt</t>
        </is>
      </c>
      <c r="O104" s="5" t="inlineStr">
        <is>
          <t>-</t>
        </is>
      </c>
    </row>
    <row r="105">
      <c r="A105" s="5" t="inlineStr">
        <is>
          <t>HU-25</t>
        </is>
      </c>
      <c r="B105" s="5" t="inlineStr">
        <is>
          <t>Eliminar bolsillo</t>
        </is>
      </c>
      <c r="C105" s="5" t="inlineStr">
        <is>
          <t>Keploy test-set-0</t>
        </is>
      </c>
      <c r="D105" s="5" t="inlineStr">
        <is>
          <t>KP-delete-api-v1-pockets-by-id-2</t>
        </is>
      </c>
      <c r="E105" s="5" t="inlineStr">
        <is>
          <t>delete-api-v1-pockets-by-id-2</t>
        </is>
      </c>
      <c r="F105" s="5" t="inlineStr">
        <is>
          <t>Integración (API, mocks de Supabase)</t>
        </is>
      </c>
      <c r="G105" s="5" t="inlineStr">
        <is>
          <t>Regresión</t>
        </is>
      </c>
      <c r="H105" s="5" t="inlineStr">
        <is>
          <t>Keploy (herramienta IA 3)</t>
        </is>
      </c>
      <c r="I105" s="5" t="inlineStr">
        <is>
          <t>03-keploy/evidence/test-set-0-saneado/tests/delete-api-v1-pockets-by-id-2.yaml</t>
        </is>
      </c>
      <c r="J105" s="5" t="inlineStr">
        <is>
          <t>Respuesta igual a la grabada (ruido declarado: data.token, data.id, Etag)</t>
        </is>
      </c>
      <c r="K105" s="5" t="inlineStr">
        <is>
          <t>Reproducida sin Supabase, igual a la grabada</t>
        </is>
      </c>
      <c r="L105" s="6" t="inlineStr">
        <is>
          <t>Aprobado</t>
        </is>
      </c>
      <c r="M105" s="5" t="inlineStr">
        <is>
          <t>2026-10-26</t>
        </is>
      </c>
      <c r="N105" s="5" t="inlineStr">
        <is>
          <t>03-keploy/evidence/02-replay-con-ruido-50-de-50.txt</t>
        </is>
      </c>
      <c r="O105" s="5" t="inlineStr">
        <is>
          <t>-</t>
        </is>
      </c>
    </row>
    <row r="106">
      <c r="A106" s="5" t="inlineStr">
        <is>
          <t>HU-25</t>
        </is>
      </c>
      <c r="B106" s="5" t="inlineStr">
        <is>
          <t>Eliminar bolsillo</t>
        </is>
      </c>
      <c r="C106" s="5" t="inlineStr">
        <is>
          <t>ESC038</t>
        </is>
      </c>
      <c r="D106" s="5" t="inlineStr">
        <is>
          <t>TC-128</t>
        </is>
      </c>
      <c r="E106" s="5" t="inlineStr">
        <is>
          <t>Eliminación exitosa</t>
        </is>
      </c>
      <c r="F106" s="5" t="inlineStr">
        <is>
          <t>Integración</t>
        </is>
      </c>
      <c r="G106" s="5" t="inlineStr">
        <is>
          <t>Funcional</t>
        </is>
      </c>
      <c r="H106" s="5" t="inlineStr">
        <is>
          <t>Manual (caja negra) + Katalon Recorder</t>
        </is>
      </c>
      <c r="I106" s="5" t="inlineStr">
        <is>
          <t>Casos y Escenarios FuBank.xlsx · katalon/casos</t>
        </is>
      </c>
      <c r="J106" s="5" t="inlineStr">
        <is>
          <t>Se elimina un bolsillo existente; el sistema lo retira de la lista</t>
        </is>
      </c>
      <c r="K106" s="5" t="inlineStr">
        <is>
          <t>Según lo esperado</t>
        </is>
      </c>
      <c r="L106" s="6" t="inlineStr">
        <is>
          <t>Aprobado</t>
        </is>
      </c>
      <c r="M106" s="5" t="inlineStr">
        <is>
          <t>2026-10-10</t>
        </is>
      </c>
      <c r="N106" s="5" t="inlineStr">
        <is>
          <t>katalon/evidencias/ · Excel (hoja Casos de Prueba Detallado)</t>
        </is>
      </c>
      <c r="O106" s="5" t="inlineStr">
        <is>
          <t>-</t>
        </is>
      </c>
    </row>
    <row r="107">
      <c r="A107" s="5" t="inlineStr">
        <is>
          <t>HU-25</t>
        </is>
      </c>
      <c r="B107" s="5" t="inlineStr">
        <is>
          <t>Eliminar bolsillo</t>
        </is>
      </c>
      <c r="C107" s="5" t="inlineStr">
        <is>
          <t>ESC038</t>
        </is>
      </c>
      <c r="D107" s="5" t="inlineStr">
        <is>
          <t>TC-129</t>
        </is>
      </c>
      <c r="E107" s="5" t="inlineStr">
        <is>
          <t>Devolución del saldo</t>
        </is>
      </c>
      <c r="F107" s="5" t="inlineStr">
        <is>
          <t>Integración</t>
        </is>
      </c>
      <c r="G107" s="5" t="inlineStr">
        <is>
          <t>Funcional</t>
        </is>
      </c>
      <c r="H107" s="5" t="inlineStr">
        <is>
          <t>Manual (caja negra) + Katalon Recorder</t>
        </is>
      </c>
      <c r="I107" s="5" t="inlineStr">
        <is>
          <t>Casos y Escenarios FuBank.xlsx · katalon/casos</t>
        </is>
      </c>
      <c r="J107" s="5" t="inlineStr">
        <is>
          <t>Al eliminar, el monto reservado del bolsillo se devuelve al saldo de la cuenta</t>
        </is>
      </c>
      <c r="K107" s="5" t="inlineStr">
        <is>
          <t>Según lo esperado</t>
        </is>
      </c>
      <c r="L107" s="6" t="inlineStr">
        <is>
          <t>Aprobado</t>
        </is>
      </c>
      <c r="M107" s="5" t="inlineStr">
        <is>
          <t>2026-10-10</t>
        </is>
      </c>
      <c r="N107" s="5" t="inlineStr">
        <is>
          <t>katalon/evidencias/ · Excel (hoja Casos de Prueba Detallado)</t>
        </is>
      </c>
      <c r="O107" s="5" t="inlineStr">
        <is>
          <t>-</t>
        </is>
      </c>
    </row>
    <row r="108">
      <c r="A108" s="5" t="inlineStr">
        <is>
          <t>HU-25</t>
        </is>
      </c>
      <c r="B108" s="5" t="inlineStr">
        <is>
          <t>Eliminar bolsillo</t>
        </is>
      </c>
      <c r="C108" s="5" t="inlineStr">
        <is>
          <t>ESC038</t>
        </is>
      </c>
      <c r="D108" s="5" t="inlineStr">
        <is>
          <t>TC-130</t>
        </is>
      </c>
      <c r="E108" s="5" t="inlineStr">
        <is>
          <t>Generación de notificación</t>
        </is>
      </c>
      <c r="F108" s="5" t="inlineStr">
        <is>
          <t>Integración</t>
        </is>
      </c>
      <c r="G108" s="5" t="inlineStr">
        <is>
          <t>Funcional</t>
        </is>
      </c>
      <c r="H108" s="5" t="inlineStr">
        <is>
          <t>Manual (caja negra) + Katalon Recorder</t>
        </is>
      </c>
      <c r="I108" s="5" t="inlineStr">
        <is>
          <t>Casos y Escenarios FuBank.xlsx · katalon/casos</t>
        </is>
      </c>
      <c r="J108" s="5" t="inlineStr">
        <is>
          <t>Al eliminar, el sistema registra la notificación "Bolsillo eliminado"</t>
        </is>
      </c>
      <c r="K108" s="5" t="inlineStr">
        <is>
          <t>Según lo esperado</t>
        </is>
      </c>
      <c r="L108" s="6" t="inlineStr">
        <is>
          <t>Aprobado</t>
        </is>
      </c>
      <c r="M108" s="5" t="inlineStr">
        <is>
          <t>2026-10-10</t>
        </is>
      </c>
      <c r="N108" s="5" t="inlineStr">
        <is>
          <t>katalon/evidencias/ · Excel (hoja Casos de Prueba Detallado)</t>
        </is>
      </c>
      <c r="O108" s="5" t="inlineStr">
        <is>
          <t>-</t>
        </is>
      </c>
    </row>
    <row r="109">
      <c r="A109" s="5" t="inlineStr">
        <is>
          <t>HU-25</t>
        </is>
      </c>
      <c r="B109" s="5" t="inlineStr">
        <is>
          <t>Eliminar bolsillo</t>
        </is>
      </c>
      <c r="C109" s="5" t="inlineStr">
        <is>
          <t>ESC039</t>
        </is>
      </c>
      <c r="D109" s="5" t="inlineStr">
        <is>
          <t>TC-131</t>
        </is>
      </c>
      <c r="E109" s="5" t="inlineStr">
        <is>
          <t>Bolsillo inexistente</t>
        </is>
      </c>
      <c r="F109" s="5" t="inlineStr">
        <is>
          <t>Unitaria</t>
        </is>
      </c>
      <c r="G109" s="5" t="inlineStr">
        <is>
          <t>Funcional</t>
        </is>
      </c>
      <c r="H109" s="5" t="inlineStr">
        <is>
          <t>Manual (caja negra) + Katalon Recorder</t>
        </is>
      </c>
      <c r="I109" s="5" t="inlineStr">
        <is>
          <t>Casos y Escenarios FuBank.xlsx · katalon/casos</t>
        </is>
      </c>
      <c r="J109" s="5" t="inlineStr">
        <is>
          <t>Se intenta eliminar un pocketId inexistente; el sistema responde POCKET_NOT_FOUND</t>
        </is>
      </c>
      <c r="K109" s="5" t="inlineStr">
        <is>
          <t>Según lo esperado</t>
        </is>
      </c>
      <c r="L109" s="6" t="inlineStr">
        <is>
          <t>Aprobado</t>
        </is>
      </c>
      <c r="M109" s="5" t="inlineStr">
        <is>
          <t>2026-10-10</t>
        </is>
      </c>
      <c r="N109" s="5" t="inlineStr">
        <is>
          <t>katalon/evidencias/ · Excel (hoja Casos de Prueba Detallado)</t>
        </is>
      </c>
      <c r="O109" s="5" t="inlineStr">
        <is>
          <t>-</t>
        </is>
      </c>
    </row>
    <row r="110">
      <c r="A110" s="5" t="inlineStr">
        <is>
          <t>HU-25</t>
        </is>
      </c>
      <c r="B110" s="5" t="inlineStr">
        <is>
          <t>Eliminar bolsillo</t>
        </is>
      </c>
      <c r="C110" s="5" t="inlineStr">
        <is>
          <t>ESC039</t>
        </is>
      </c>
      <c r="D110" s="5" t="inlineStr">
        <is>
          <t>TC-132</t>
        </is>
      </c>
      <c r="E110" s="5" t="inlineStr">
        <is>
          <t>Cuenta ajena</t>
        </is>
      </c>
      <c r="F110" s="5" t="inlineStr">
        <is>
          <t>Unitaria</t>
        </is>
      </c>
      <c r="G110" s="5" t="inlineStr">
        <is>
          <t>Seguridad</t>
        </is>
      </c>
      <c r="H110" s="5" t="inlineStr">
        <is>
          <t>Manual (caja negra) + Katalon Recorder</t>
        </is>
      </c>
      <c r="I110" s="5" t="inlineStr">
        <is>
          <t>Casos y Escenarios FuBank.xlsx · katalon/casos</t>
        </is>
      </c>
      <c r="J110" s="5" t="inlineStr">
        <is>
          <t>Un usuario que no es dueño intenta eliminar el bolsillo; el sistema lo rechaza (FORBIDDEN)</t>
        </is>
      </c>
      <c r="K110" s="5" t="inlineStr">
        <is>
          <t>Según lo esperado</t>
        </is>
      </c>
      <c r="L110" s="6" t="inlineStr">
        <is>
          <t>Aprobado</t>
        </is>
      </c>
      <c r="M110" s="5" t="inlineStr">
        <is>
          <t>2026-10-10</t>
        </is>
      </c>
      <c r="N110" s="5" t="inlineStr">
        <is>
          <t>katalon/evidencias/ · Excel (hoja Casos de Prueba Detallado)</t>
        </is>
      </c>
      <c r="O110" s="5" t="inlineStr">
        <is>
          <t>-</t>
        </is>
      </c>
    </row>
    <row r="111">
      <c r="A111" s="5" t="inlineStr">
        <is>
          <t>HU-25</t>
        </is>
      </c>
      <c r="B111" s="5" t="inlineStr">
        <is>
          <t>Eliminar bolsillo</t>
        </is>
      </c>
      <c r="C111" s="5" t="inlineStr">
        <is>
          <t>ESC039</t>
        </is>
      </c>
      <c r="D111" s="5" t="inlineStr">
        <is>
          <t>TC-133</t>
        </is>
      </c>
      <c r="E111" s="5" t="inlineStr">
        <is>
          <t>Sin autenticación</t>
        </is>
      </c>
      <c r="F111" s="5" t="inlineStr">
        <is>
          <t>Unitaria</t>
        </is>
      </c>
      <c r="G111" s="5" t="inlineStr">
        <is>
          <t>Seguridad</t>
        </is>
      </c>
      <c r="H111" s="5" t="inlineStr">
        <is>
          <t>Manual (caja negra) + Katalon Recorder</t>
        </is>
      </c>
      <c r="I111" s="5" t="inlineStr">
        <is>
          <t>Casos y Escenarios FuBank.xlsx · katalon/casos</t>
        </is>
      </c>
      <c r="J111" s="5" t="inlineStr">
        <is>
          <t>Se intenta eliminar sin token de sesión válido; el sistema no autoriza la operación</t>
        </is>
      </c>
      <c r="K111" s="5" t="inlineStr">
        <is>
          <t>Según lo esperado</t>
        </is>
      </c>
      <c r="L111" s="6" t="inlineStr">
        <is>
          <t>Aprobado</t>
        </is>
      </c>
      <c r="M111" s="5" t="inlineStr">
        <is>
          <t>2026-10-10</t>
        </is>
      </c>
      <c r="N111" s="5" t="inlineStr">
        <is>
          <t>katalon/evidencias/ · Excel (hoja Casos de Prueba Detallado)</t>
        </is>
      </c>
      <c r="O111" s="5" t="inlineStr">
        <is>
          <t>-</t>
        </is>
      </c>
    </row>
    <row r="112">
      <c r="A112" s="5" t="inlineStr">
        <is>
          <t>HU-25</t>
        </is>
      </c>
      <c r="B112" s="5" t="inlineStr">
        <is>
          <t>Eliminar bolsillo</t>
        </is>
      </c>
      <c r="C112" s="5" t="inlineStr">
        <is>
          <t>05 Eliminar bolsillo</t>
        </is>
      </c>
      <c r="D112" s="5" t="inlineStr">
        <is>
          <t>PM-EL-01</t>
        </is>
      </c>
      <c r="E112" s="5" t="inlineStr">
        <is>
          <t>No eliminar el bolsillo de otro cliente</t>
        </is>
      </c>
      <c r="F112" s="5" t="inlineStr">
        <is>
          <t>Integración (API)</t>
        </is>
      </c>
      <c r="G112" s="5" t="inlineStr">
        <is>
          <t>Seguridad</t>
        </is>
      </c>
      <c r="H112" s="5" t="inlineStr">
        <is>
          <t>Postman + Newman (herramienta IA 2)</t>
        </is>
      </c>
      <c r="I112" s="5" t="inlineStr">
        <is>
          <t>02-postman-postbot/FuBanking-Bolsillos.postman_collection.json</t>
        </is>
      </c>
      <c r="J112" s="5" t="inlineStr">
        <is>
          <t>403 FORBIDDEN y el bolsillo de Bruno sigue ahí.</t>
        </is>
      </c>
      <c r="K112" s="5" t="inlineStr">
        <is>
          <t>5/5 aserciones correctas</t>
        </is>
      </c>
      <c r="L112" s="6" t="inlineStr">
        <is>
          <t>Aprobado</t>
        </is>
      </c>
      <c r="M112" s="5" t="inlineStr">
        <is>
          <t>2026-10-26</t>
        </is>
      </c>
      <c r="N112" s="5" t="inlineStr">
        <is>
          <t>02-postman-postbot/evidence/newman-report.html</t>
        </is>
      </c>
      <c r="O112" s="5" t="inlineStr">
        <is>
          <t>-</t>
        </is>
      </c>
    </row>
    <row r="113">
      <c r="A113" s="5" t="inlineStr">
        <is>
          <t>HU-25</t>
        </is>
      </c>
      <c r="B113" s="5" t="inlineStr">
        <is>
          <t>Eliminar bolsillo</t>
        </is>
      </c>
      <c r="C113" s="5" t="inlineStr">
        <is>
          <t>05 Eliminar bolsillo</t>
        </is>
      </c>
      <c r="D113" s="5" t="inlineStr">
        <is>
          <t>PM-EL-02</t>
        </is>
      </c>
      <c r="E113" s="5" t="inlineStr">
        <is>
          <t>Eliminar "Mercado"</t>
        </is>
      </c>
      <c r="F113" s="5" t="inlineStr">
        <is>
          <t>Integración (API)</t>
        </is>
      </c>
      <c r="G113" s="5" t="inlineStr">
        <is>
          <t>Funcional</t>
        </is>
      </c>
      <c r="H113" s="5" t="inlineStr">
        <is>
          <t>Postman + Newman (herramienta IA 2)</t>
        </is>
      </c>
      <c r="I113" s="5" t="inlineStr">
        <is>
          <t>02-postman-postbot/FuBanking-Bolsillos.postman_collection.json</t>
        </is>
      </c>
      <c r="J113" s="5" t="inlineStr">
        <is>
          <t>200 y sus 80.000 vuelven a la cuenta (380.000).</t>
        </is>
      </c>
      <c r="K113" s="5" t="inlineStr">
        <is>
          <t>5/5 aserciones correctas</t>
        </is>
      </c>
      <c r="L113" s="6" t="inlineStr">
        <is>
          <t>Aprobado</t>
        </is>
      </c>
      <c r="M113" s="5" t="inlineStr">
        <is>
          <t>2026-10-26</t>
        </is>
      </c>
      <c r="N113" s="5" t="inlineStr">
        <is>
          <t>02-postman-postbot/evidence/newman-report.html</t>
        </is>
      </c>
      <c r="O113" s="5" t="inlineStr">
        <is>
          <t>-</t>
        </is>
      </c>
    </row>
    <row r="114">
      <c r="A114" s="5" t="inlineStr">
        <is>
          <t>HU-25</t>
        </is>
      </c>
      <c r="B114" s="5" t="inlineStr">
        <is>
          <t>Eliminar bolsillo</t>
        </is>
      </c>
      <c r="C114" s="5" t="inlineStr">
        <is>
          <t>eliminar_bolsillo.feature</t>
        </is>
      </c>
      <c r="D114" s="5" t="inlineStr">
        <is>
          <t>SJ-ELI-01</t>
        </is>
      </c>
      <c r="E114" s="5" t="inlineStr">
        <is>
          <t>Eliminar un bolsillo devuelve su saldo a la cuenta</t>
        </is>
      </c>
      <c r="F114" s="5" t="inlineStr">
        <is>
          <t>Integración (API)</t>
        </is>
      </c>
      <c r="G114" s="5" t="inlineStr">
        <is>
          <t>Funcional</t>
        </is>
      </c>
      <c r="H114" s="5" t="inlineStr">
        <is>
          <t>Serenity/JS Screenplay + Gherkin</t>
        </is>
      </c>
      <c r="I114" s="5" t="inlineStr">
        <is>
          <t>e2e/serenity/features/eliminar_bolsillo.feature</t>
        </is>
      </c>
      <c r="J114" s="5" t="inlineStr">
        <is>
          <t>la respuesta HTTP tiene estado 200; el saldo de su cuenta es 500000; su cuenta no tiene bolsillos</t>
        </is>
      </c>
      <c r="K114" s="5" t="inlineStr">
        <is>
          <t>Todos los pasos pasaron</t>
        </is>
      </c>
      <c r="L114" s="6" t="inlineStr">
        <is>
          <t>Aprobado</t>
        </is>
      </c>
      <c r="M114" s="5" t="inlineStr">
        <is>
          <t>2026-10-26</t>
        </is>
      </c>
      <c r="N114" s="5" t="inlineStr">
        <is>
          <t>e2e/serenity/reports/serenity-js (HTML)</t>
        </is>
      </c>
      <c r="O114" s="5" t="inlineStr">
        <is>
          <t>-</t>
        </is>
      </c>
    </row>
    <row r="115">
      <c r="A115" s="5" t="inlineStr">
        <is>
          <t>HU-25</t>
        </is>
      </c>
      <c r="B115" s="5" t="inlineStr">
        <is>
          <t>Eliminar bolsillo</t>
        </is>
      </c>
      <c r="C115" s="5" t="inlineStr">
        <is>
          <t>eliminar_bolsillo.feature</t>
        </is>
      </c>
      <c r="D115" s="5" t="inlineStr">
        <is>
          <t>SJ-ELI-02</t>
        </is>
      </c>
      <c r="E115" s="5" t="inlineStr">
        <is>
          <t>No se puede eliminar el bolsillo de otro cliente</t>
        </is>
      </c>
      <c r="F115" s="5" t="inlineStr">
        <is>
          <t>Integración (API)</t>
        </is>
      </c>
      <c r="G115" s="5" t="inlineStr">
        <is>
          <t>Seguridad</t>
        </is>
      </c>
      <c r="H115" s="5" t="inlineStr">
        <is>
          <t>Serenity/JS Screenplay + Gherkin</t>
        </is>
      </c>
      <c r="I115" s="5" t="inlineStr">
        <is>
          <t>e2e/serenity/features/eliminar_bolsillo.feature</t>
        </is>
      </c>
      <c r="J115" s="5" t="inlineStr">
        <is>
          <t>la respuesta HTTP tiene estado 403; el código de error es "FORBIDDEN"; el saldo de la cuenta de Bruno es 50000</t>
        </is>
      </c>
      <c r="K115" s="5" t="inlineStr">
        <is>
          <t>Todos los pasos pasaron</t>
        </is>
      </c>
      <c r="L115" s="6" t="inlineStr">
        <is>
          <t>Aprobado</t>
        </is>
      </c>
      <c r="M115" s="5" t="inlineStr">
        <is>
          <t>2026-10-26</t>
        </is>
      </c>
      <c r="N115" s="5" t="inlineStr">
        <is>
          <t>e2e/serenity/reports/serenity-js (HTML)</t>
        </is>
      </c>
      <c r="O115" s="5" t="inlineStr">
        <is>
          <t>-</t>
        </is>
      </c>
    </row>
    <row r="116">
      <c r="A116" s="5" t="inlineStr">
        <is>
          <t>HU-25</t>
        </is>
      </c>
      <c r="B116" s="5" t="inlineStr">
        <is>
          <t>Eliminar bolsillo</t>
        </is>
      </c>
      <c r="C116" s="5" t="inlineStr">
        <is>
          <t>eliminar_bolsillo.feature</t>
        </is>
      </c>
      <c r="D116" s="5" t="inlineStr">
        <is>
          <t>SJ-ELI-03</t>
        </is>
      </c>
      <c r="E116" s="5" t="inlineStr">
        <is>
          <t>Eliminar un bolsillo desde la pantalla con confirmación</t>
        </is>
      </c>
      <c r="F116" s="5" t="inlineStr">
        <is>
          <t>Sistema (E2E UI)</t>
        </is>
      </c>
      <c r="G116" s="5" t="inlineStr">
        <is>
          <t>Funcional</t>
        </is>
      </c>
      <c r="H116" s="5" t="inlineStr">
        <is>
          <t>Serenity/JS Screenplay + Gherkin</t>
        </is>
      </c>
      <c r="I116" s="5" t="inlineStr">
        <is>
          <t>e2e/serenity/features/eliminar_bolsillo.feature</t>
        </is>
      </c>
      <c r="J116" s="5" t="inlineStr">
        <is>
          <t>ella ve la notificación "Bolsillo eliminado"; ella ve que su cuenta no tiene bolsillos; el saldo de su cuenta es 500000</t>
        </is>
      </c>
      <c r="K116" s="5" t="inlineStr">
        <is>
          <t>Todos los pasos pasaron</t>
        </is>
      </c>
      <c r="L116" s="6" t="inlineStr">
        <is>
          <t>Aprobado</t>
        </is>
      </c>
      <c r="M116" s="5" t="inlineStr">
        <is>
          <t>2026-10-26</t>
        </is>
      </c>
      <c r="N116" s="5" t="inlineStr">
        <is>
          <t>e2e/serenity/reports/serenity-js (HTML)</t>
        </is>
      </c>
      <c r="O116" s="5" t="inlineStr">
        <is>
          <t>-</t>
        </is>
      </c>
    </row>
    <row r="117">
      <c r="A117" s="5" t="inlineStr">
        <is>
          <t>HU-25</t>
        </is>
      </c>
      <c r="B117" s="5" t="inlineStr">
        <is>
          <t>Eliminar bolsillo</t>
        </is>
      </c>
      <c r="C117" s="5" t="inlineStr">
        <is>
          <t>Stagehand + Claude</t>
        </is>
      </c>
      <c r="D117" s="5" t="inlineStr">
        <is>
          <t>SH-B04</t>
        </is>
      </c>
      <c r="E117" s="5" t="inlineStr">
        <is>
          <t>La IA elimina un bolsillo pasando por el diálogo de confirmación. (act + extract + observe)</t>
        </is>
      </c>
      <c r="F117" s="5" t="inlineStr">
        <is>
          <t>Sistema (E2E UI con IA)</t>
        </is>
      </c>
      <c r="G117" s="5" t="inlineStr">
        <is>
          <t>Funcional</t>
        </is>
      </c>
      <c r="H117" s="5" t="inlineStr">
        <is>
          <t>Stagehand (act/observe/extract)</t>
        </is>
      </c>
      <c r="I117" s="5" t="inlineStr">
        <is>
          <t>e2e/stagehand/src/bolsillos/scenarios.ts</t>
        </is>
      </c>
      <c r="J117" s="5" t="inlineStr">
        <is>
          <t>Toast "Bolsillo eliminado", mensaje de lista vacía y el saldo vuelve a 500.000.</t>
        </is>
      </c>
      <c r="K117" s="5" t="inlineStr">
        <is>
          <t>6/6 validaciones correctas</t>
        </is>
      </c>
      <c r="L117" s="6" t="inlineStr">
        <is>
          <t>Aprobado</t>
        </is>
      </c>
      <c r="M117" s="5" t="inlineStr">
        <is>
          <t>2026-10-26</t>
        </is>
      </c>
      <c r="N117" s="5" t="inlineStr">
        <is>
          <t>e2e/stagehand/evidence/bolsillos/SH-B04-*.png · SH-B04-report.json</t>
        </is>
      </c>
      <c r="O117" s="5" t="inlineStr">
        <is>
          <t>-</t>
        </is>
      </c>
    </row>
    <row r="118">
      <c r="A118" s="5" t="inlineStr">
        <is>
          <t>HU-25</t>
        </is>
      </c>
      <c r="B118" s="5" t="inlineStr">
        <is>
          <t>Eliminar bolsillo</t>
        </is>
      </c>
      <c r="C118" s="5" t="inlineStr">
        <is>
          <t>Suite automatizada</t>
        </is>
      </c>
      <c r="D118" s="5" t="inlineStr">
        <is>
          <t>VT-DeletePocket</t>
        </is>
      </c>
      <c r="E118" s="5" t="inlineStr">
        <is>
          <t>DeletePocket.test.ts (7 pruebas)</t>
        </is>
      </c>
      <c r="F118" s="5" t="inlineStr">
        <is>
          <t>Unitaria / Integración</t>
        </is>
      </c>
      <c r="G118" s="5" t="inlineStr">
        <is>
          <t>Funcional (regresión)</t>
        </is>
      </c>
      <c r="H118" s="5" t="inlineStr">
        <is>
          <t>Vitest · regresión + unitarias (AAA, 5 dobles)</t>
        </is>
      </c>
      <c r="I118" s="5" t="inlineStr">
        <is>
          <t>DeletePocket.test.ts</t>
        </is>
      </c>
      <c r="J118" s="5" t="inlineStr">
        <is>
          <t>Todas las pruebas del archivo pasan (incluye `it.fails` de defectos abiertos)</t>
        </is>
      </c>
      <c r="K118" s="5" t="inlineStr">
        <is>
          <t>7/7 pasan</t>
        </is>
      </c>
      <c r="L118" s="6" t="inlineStr">
        <is>
          <t>Aprobado</t>
        </is>
      </c>
      <c r="M118" s="5" t="inlineStr">
        <is>
          <t>2026-10-26</t>
        </is>
      </c>
      <c r="N118" s="5" t="inlineStr">
        <is>
          <t>docs/evidencia-final-bolsillos/vitest-regresion.json</t>
        </is>
      </c>
      <c r="O118" s="5" t="inlineStr">
        <is>
          <t>-</t>
        </is>
      </c>
    </row>
    <row r="119">
      <c r="A119" s="5" t="inlineStr">
        <is>
          <t>HU-25</t>
        </is>
      </c>
      <c r="B119" s="5" t="inlineStr">
        <is>
          <t>Eliminar bolsillo</t>
        </is>
      </c>
      <c r="C119" s="5" t="inlineStr">
        <is>
          <t>Suite automatizada</t>
        </is>
      </c>
      <c r="D119" s="5" t="inlineStr">
        <is>
          <t>VT-eliminar</t>
        </is>
      </c>
      <c r="E119" s="5" t="inlineStr">
        <is>
          <t>eliminar.regression.test.ts (10 pruebas)</t>
        </is>
      </c>
      <c r="F119" s="5" t="inlineStr">
        <is>
          <t>Unitaria / Integración</t>
        </is>
      </c>
      <c r="G119" s="5" t="inlineStr">
        <is>
          <t>Funcional (regresión)</t>
        </is>
      </c>
      <c r="H119" s="5" t="inlineStr">
        <is>
          <t>Vitest · regresión + unitarias (AAA, 5 dobles)</t>
        </is>
      </c>
      <c r="I119" s="5" t="inlineStr">
        <is>
          <t>eliminar.regression.test.ts</t>
        </is>
      </c>
      <c r="J119" s="5" t="inlineStr">
        <is>
          <t>Todas las pruebas del archivo pasan (incluye `it.fails` de defectos abiertos)</t>
        </is>
      </c>
      <c r="K119" s="5" t="inlineStr">
        <is>
          <t>10/10 pasan</t>
        </is>
      </c>
      <c r="L119" s="6" t="inlineStr">
        <is>
          <t>Aprobado</t>
        </is>
      </c>
      <c r="M119" s="5" t="inlineStr">
        <is>
          <t>2026-10-26</t>
        </is>
      </c>
      <c r="N119" s="5" t="inlineStr">
        <is>
          <t>docs/evidencia-final-bolsillos/vitest-regresion.json</t>
        </is>
      </c>
      <c r="O119" s="5" t="inlineStr">
        <is>
          <t>-</t>
        </is>
      </c>
    </row>
    <row r="120">
      <c r="A120" s="5" t="inlineStr">
        <is>
          <t>HU-26</t>
        </is>
      </c>
      <c r="B120" s="5" t="inlineStr">
        <is>
          <t>Transferir entre bolsillos</t>
        </is>
      </c>
      <c r="C120" s="5" t="inlineStr">
        <is>
          <t>transferir_entre_bolsillos.feature</t>
        </is>
      </c>
      <c r="D120" s="5" t="inlineStr">
        <is>
          <t>CY-TRA-01</t>
        </is>
      </c>
      <c r="E120" s="5" t="inlineStr">
        <is>
          <t>Mover dinero de un bolsillo a otro</t>
        </is>
      </c>
      <c r="F120" s="5" t="inlineStr">
        <is>
          <t>Integración (API)</t>
        </is>
      </c>
      <c r="G120" s="5" t="inlineStr">
        <is>
          <t>Funcional</t>
        </is>
      </c>
      <c r="H120" s="5" t="inlineStr">
        <is>
          <t>Cypress + Gherkin (cucumber-preprocessor)</t>
        </is>
      </c>
      <c r="I120" s="5" t="inlineStr">
        <is>
          <t>e2e/serenity/features · cypress/bolsillos/features/transferir_entre_bolsillos.feature</t>
        </is>
      </c>
      <c r="J120" s="5" t="inlineStr">
        <is>
          <t>la respuesta HTTP tiene estado 200; su bolsillo "Vacaciones" tiene 70000; su bolsillo "Mercado" tiene 80000; el saldo de su cuenta es 350000</t>
        </is>
      </c>
      <c r="K120" s="5" t="inlineStr">
        <is>
          <t>Todos los pasos pasaron</t>
        </is>
      </c>
      <c r="L120" s="6" t="inlineStr">
        <is>
          <t>Aprobado</t>
        </is>
      </c>
      <c r="M120" s="5" t="inlineStr">
        <is>
          <t>2026-10-26</t>
        </is>
      </c>
      <c r="N120" s="5" t="inlineStr">
        <is>
          <t>cypress/reports/bolsillos/cucumber-report.html</t>
        </is>
      </c>
      <c r="O120" s="5" t="inlineStr">
        <is>
          <t>-</t>
        </is>
      </c>
    </row>
    <row r="121">
      <c r="A121" s="5" t="inlineStr">
        <is>
          <t>HU-26</t>
        </is>
      </c>
      <c r="B121" s="5" t="inlineStr">
        <is>
          <t>Transferir entre bolsillos</t>
        </is>
      </c>
      <c r="C121" s="5" t="inlineStr">
        <is>
          <t>transferir_entre_bolsillos.feature</t>
        </is>
      </c>
      <c r="D121" s="5" t="inlineStr">
        <is>
          <t>CY-TRA-02</t>
        </is>
      </c>
      <c r="E121" s="5" t="inlineStr">
        <is>
          <t>Se puede transferir todo el saldo de un bolsillo</t>
        </is>
      </c>
      <c r="F121" s="5" t="inlineStr">
        <is>
          <t>Integración (API)</t>
        </is>
      </c>
      <c r="G121" s="5" t="inlineStr">
        <is>
          <t>Funcional</t>
        </is>
      </c>
      <c r="H121" s="5" t="inlineStr">
        <is>
          <t>Cypress + Gherkin (cucumber-preprocessor)</t>
        </is>
      </c>
      <c r="I121" s="5" t="inlineStr">
        <is>
          <t>e2e/serenity/features · cypress/bolsillos/features/transferir_entre_bolsillos.feature</t>
        </is>
      </c>
      <c r="J121" s="5" t="inlineStr">
        <is>
          <t>la respuesta HTTP tiene estado 200; su bolsillo "Vacaciones" tiene 0; su bolsillo "Mercado" tiene 150000</t>
        </is>
      </c>
      <c r="K121" s="5" t="inlineStr">
        <is>
          <t>Todos los pasos pasaron</t>
        </is>
      </c>
      <c r="L121" s="6" t="inlineStr">
        <is>
          <t>Aprobado</t>
        </is>
      </c>
      <c r="M121" s="5" t="inlineStr">
        <is>
          <t>2026-10-26</t>
        </is>
      </c>
      <c r="N121" s="5" t="inlineStr">
        <is>
          <t>cypress/reports/bolsillos/cucumber-report.html</t>
        </is>
      </c>
      <c r="O121" s="5" t="inlineStr">
        <is>
          <t>-</t>
        </is>
      </c>
    </row>
    <row r="122">
      <c r="A122" s="5" t="inlineStr">
        <is>
          <t>HU-26</t>
        </is>
      </c>
      <c r="B122" s="5" t="inlineStr">
        <is>
          <t>Transferir entre bolsillos</t>
        </is>
      </c>
      <c r="C122" s="5" t="inlineStr">
        <is>
          <t>transferir_entre_bolsillos.feature</t>
        </is>
      </c>
      <c r="D122" s="5" t="inlineStr">
        <is>
          <t>CY-TRA-03</t>
        </is>
      </c>
      <c r="E122" s="5" t="inlineStr">
        <is>
          <t>No se puede transferir más de lo que tiene el bolsillo de origen</t>
        </is>
      </c>
      <c r="F122" s="5" t="inlineStr">
        <is>
          <t>Integración (API)</t>
        </is>
      </c>
      <c r="G122" s="5" t="inlineStr">
        <is>
          <t>Funcional</t>
        </is>
      </c>
      <c r="H122" s="5" t="inlineStr">
        <is>
          <t>Cypress + Gherkin (cucumber-preprocessor)</t>
        </is>
      </c>
      <c r="I122" s="5" t="inlineStr">
        <is>
          <t>e2e/serenity/features · cypress/bolsillos/features/transferir_entre_bolsillos.feature</t>
        </is>
      </c>
      <c r="J122" s="5" t="inlineStr">
        <is>
          <t>la respuesta HTTP tiene estado 400; el código de error es "INSUFFICIENT_POCKET_BALANCE"; su bolsillo "Vacaciones" tiene 100000</t>
        </is>
      </c>
      <c r="K122" s="5" t="inlineStr">
        <is>
          <t>Todos los pasos pasaron</t>
        </is>
      </c>
      <c r="L122" s="6" t="inlineStr">
        <is>
          <t>Aprobado</t>
        </is>
      </c>
      <c r="M122" s="5" t="inlineStr">
        <is>
          <t>2026-10-26</t>
        </is>
      </c>
      <c r="N122" s="5" t="inlineStr">
        <is>
          <t>cypress/reports/bolsillos/cucumber-report.html</t>
        </is>
      </c>
      <c r="O122" s="5" t="inlineStr">
        <is>
          <t>-</t>
        </is>
      </c>
    </row>
    <row r="123">
      <c r="A123" s="5" t="inlineStr">
        <is>
          <t>HU-26</t>
        </is>
      </c>
      <c r="B123" s="5" t="inlineStr">
        <is>
          <t>Transferir entre bolsillos</t>
        </is>
      </c>
      <c r="C123" s="5" t="inlineStr">
        <is>
          <t>transferir_entre_bolsillos.feature</t>
        </is>
      </c>
      <c r="D123" s="5" t="inlineStr">
        <is>
          <t>CY-TRA-04</t>
        </is>
      </c>
      <c r="E123" s="5" t="inlineStr">
        <is>
          <t>El bolsillo de origen y el de destino deben ser diferentes</t>
        </is>
      </c>
      <c r="F123" s="5" t="inlineStr">
        <is>
          <t>Integración (API)</t>
        </is>
      </c>
      <c r="G123" s="5" t="inlineStr">
        <is>
          <t>Funcional</t>
        </is>
      </c>
      <c r="H123" s="5" t="inlineStr">
        <is>
          <t>Cypress + Gherkin (cucumber-preprocessor)</t>
        </is>
      </c>
      <c r="I123" s="5" t="inlineStr">
        <is>
          <t>e2e/serenity/features · cypress/bolsillos/features/transferir_entre_bolsillos.feature</t>
        </is>
      </c>
      <c r="J123" s="5" t="inlineStr">
        <is>
          <t>la respuesta HTTP tiene estado 400; el código de error es "INVALID_TRANSFER_TARGET"</t>
        </is>
      </c>
      <c r="K123" s="5" t="inlineStr">
        <is>
          <t>Todos los pasos pasaron</t>
        </is>
      </c>
      <c r="L123" s="6" t="inlineStr">
        <is>
          <t>Aprobado</t>
        </is>
      </c>
      <c r="M123" s="5" t="inlineStr">
        <is>
          <t>2026-10-26</t>
        </is>
      </c>
      <c r="N123" s="5" t="inlineStr">
        <is>
          <t>cypress/reports/bolsillos/cucumber-report.html</t>
        </is>
      </c>
      <c r="O123" s="5" t="inlineStr">
        <is>
          <t>-</t>
        </is>
      </c>
    </row>
    <row r="124">
      <c r="A124" s="5" t="inlineStr">
        <is>
          <t>HU-26</t>
        </is>
      </c>
      <c r="B124" s="5" t="inlineStr">
        <is>
          <t>Transferir entre bolsillos</t>
        </is>
      </c>
      <c r="C124" s="5" t="inlineStr">
        <is>
          <t>transferir_entre_bolsillos.feature</t>
        </is>
      </c>
      <c r="D124" s="5" t="inlineStr">
        <is>
          <t>CY-TRA-05</t>
        </is>
      </c>
      <c r="E124" s="5" t="inlineStr">
        <is>
          <t>Transferir entre bolsillos desde la pantalla</t>
        </is>
      </c>
      <c r="F124" s="5" t="inlineStr">
        <is>
          <t>Sistema (E2E UI)</t>
        </is>
      </c>
      <c r="G124" s="5" t="inlineStr">
        <is>
          <t>Funcional</t>
        </is>
      </c>
      <c r="H124" s="5" t="inlineStr">
        <is>
          <t>Cypress + Gherkin (cucumber-preprocessor)</t>
        </is>
      </c>
      <c r="I124" s="5" t="inlineStr">
        <is>
          <t>e2e/serenity/features · cypress/bolsillos/features/transferir_entre_bolsillos.feature</t>
        </is>
      </c>
      <c r="J124" s="5" t="inlineStr">
        <is>
          <t>ella ve la notificación "Transferencia realizada"; ella ve el bolsillo "Vacaciones" con 70000; ella ve el bolsillo "Mercado" con 80000</t>
        </is>
      </c>
      <c r="K124" s="5" t="inlineStr">
        <is>
          <t>Todos los pasos pasaron</t>
        </is>
      </c>
      <c r="L124" s="6" t="inlineStr">
        <is>
          <t>Aprobado</t>
        </is>
      </c>
      <c r="M124" s="5" t="inlineStr">
        <is>
          <t>2026-10-26</t>
        </is>
      </c>
      <c r="N124" s="5" t="inlineStr">
        <is>
          <t>cypress/reports/bolsillos/cucumber-report.html</t>
        </is>
      </c>
      <c r="O124" s="5" t="inlineStr">
        <is>
          <t>-</t>
        </is>
      </c>
    </row>
    <row r="125">
      <c r="A125" s="5" t="inlineStr">
        <is>
          <t>HU-26</t>
        </is>
      </c>
      <c r="B125" s="5" t="inlineStr">
        <is>
          <t>Transferir entre bolsillos</t>
        </is>
      </c>
      <c r="C125" s="5" t="inlineStr">
        <is>
          <t>Keploy test-set-0</t>
        </is>
      </c>
      <c r="D125" s="5" t="inlineStr">
        <is>
          <t>KP-post-api-v1-pockets-transfer-1</t>
        </is>
      </c>
      <c r="E125" s="5" t="inlineStr">
        <is>
          <t>post-api-v1-pockets-transfer-1</t>
        </is>
      </c>
      <c r="F125" s="5" t="inlineStr">
        <is>
          <t>Integración (API, mocks de Supabase)</t>
        </is>
      </c>
      <c r="G125" s="5" t="inlineStr">
        <is>
          <t>Regresión</t>
        </is>
      </c>
      <c r="H125" s="5" t="inlineStr">
        <is>
          <t>Keploy (herramienta IA 3)</t>
        </is>
      </c>
      <c r="I125" s="5" t="inlineStr">
        <is>
          <t>03-keploy/evidence/test-set-0-saneado/tests/post-api-v1-pockets-transfer-1.yaml</t>
        </is>
      </c>
      <c r="J125" s="5" t="inlineStr">
        <is>
          <t>Respuesta igual a la grabada (ruido declarado: data.token, data.id, Etag)</t>
        </is>
      </c>
      <c r="K125" s="5" t="inlineStr">
        <is>
          <t>Reproducida sin Supabase, igual a la grabada</t>
        </is>
      </c>
      <c r="L125" s="6" t="inlineStr">
        <is>
          <t>Aprobado</t>
        </is>
      </c>
      <c r="M125" s="5" t="inlineStr">
        <is>
          <t>2026-10-26</t>
        </is>
      </c>
      <c r="N125" s="5" t="inlineStr">
        <is>
          <t>03-keploy/evidence/02-replay-con-ruido-50-de-50.txt</t>
        </is>
      </c>
      <c r="O125" s="5" t="inlineStr">
        <is>
          <t>-</t>
        </is>
      </c>
    </row>
    <row r="126">
      <c r="A126" s="5" t="inlineStr">
        <is>
          <t>HU-26</t>
        </is>
      </c>
      <c r="B126" s="5" t="inlineStr">
        <is>
          <t>Transferir entre bolsillos</t>
        </is>
      </c>
      <c r="C126" s="5" t="inlineStr">
        <is>
          <t>Keploy test-set-0</t>
        </is>
      </c>
      <c r="D126" s="5" t="inlineStr">
        <is>
          <t>KP-post-api-v1-pockets-transfer-2</t>
        </is>
      </c>
      <c r="E126" s="5" t="inlineStr">
        <is>
          <t>post-api-v1-pockets-transfer-2</t>
        </is>
      </c>
      <c r="F126" s="5" t="inlineStr">
        <is>
          <t>Integración (API, mocks de Supabase)</t>
        </is>
      </c>
      <c r="G126" s="5" t="inlineStr">
        <is>
          <t>Regresión</t>
        </is>
      </c>
      <c r="H126" s="5" t="inlineStr">
        <is>
          <t>Keploy (herramienta IA 3)</t>
        </is>
      </c>
      <c r="I126" s="5" t="inlineStr">
        <is>
          <t>03-keploy/evidence/test-set-0-saneado/tests/post-api-v1-pockets-transfer-2.yaml</t>
        </is>
      </c>
      <c r="J126" s="5" t="inlineStr">
        <is>
          <t>Respuesta igual a la grabada (ruido declarado: data.token, data.id, Etag)</t>
        </is>
      </c>
      <c r="K126" s="5" t="inlineStr">
        <is>
          <t>Reproducida sin Supabase, igual a la grabada</t>
        </is>
      </c>
      <c r="L126" s="6" t="inlineStr">
        <is>
          <t>Aprobado</t>
        </is>
      </c>
      <c r="M126" s="5" t="inlineStr">
        <is>
          <t>2026-10-26</t>
        </is>
      </c>
      <c r="N126" s="5" t="inlineStr">
        <is>
          <t>03-keploy/evidence/02-replay-con-ruido-50-de-50.txt</t>
        </is>
      </c>
      <c r="O126" s="5" t="inlineStr">
        <is>
          <t>-</t>
        </is>
      </c>
    </row>
    <row r="127">
      <c r="A127" s="5" t="inlineStr">
        <is>
          <t>HU-26</t>
        </is>
      </c>
      <c r="B127" s="5" t="inlineStr">
        <is>
          <t>Transferir entre bolsillos</t>
        </is>
      </c>
      <c r="C127" s="5" t="inlineStr">
        <is>
          <t>Keploy test-set-0</t>
        </is>
      </c>
      <c r="D127" s="5" t="inlineStr">
        <is>
          <t>KP-post-api-v1-pockets-transfer-3</t>
        </is>
      </c>
      <c r="E127" s="5" t="inlineStr">
        <is>
          <t>post-api-v1-pockets-transfer-3</t>
        </is>
      </c>
      <c r="F127" s="5" t="inlineStr">
        <is>
          <t>Integración (API, mocks de Supabase)</t>
        </is>
      </c>
      <c r="G127" s="5" t="inlineStr">
        <is>
          <t>Regresión</t>
        </is>
      </c>
      <c r="H127" s="5" t="inlineStr">
        <is>
          <t>Keploy (herramienta IA 3)</t>
        </is>
      </c>
      <c r="I127" s="5" t="inlineStr">
        <is>
          <t>03-keploy/evidence/test-set-0-saneado/tests/post-api-v1-pockets-transfer-3.yaml</t>
        </is>
      </c>
      <c r="J127" s="5" t="inlineStr">
        <is>
          <t>Respuesta igual a la grabada (ruido declarado: data.token, data.id, Etag)</t>
        </is>
      </c>
      <c r="K127" s="5" t="inlineStr">
        <is>
          <t>Reproducida sin Supabase, igual a la grabada</t>
        </is>
      </c>
      <c r="L127" s="6" t="inlineStr">
        <is>
          <t>Aprobado</t>
        </is>
      </c>
      <c r="M127" s="5" t="inlineStr">
        <is>
          <t>2026-10-26</t>
        </is>
      </c>
      <c r="N127" s="5" t="inlineStr">
        <is>
          <t>03-keploy/evidence/02-replay-con-ruido-50-de-50.txt</t>
        </is>
      </c>
      <c r="O127" s="5" t="inlineStr">
        <is>
          <t>-</t>
        </is>
      </c>
    </row>
    <row r="128">
      <c r="A128" s="5" t="inlineStr">
        <is>
          <t>HU-26</t>
        </is>
      </c>
      <c r="B128" s="5" t="inlineStr">
        <is>
          <t>Transferir entre bolsillos</t>
        </is>
      </c>
      <c r="C128" s="5" t="inlineStr">
        <is>
          <t>ESC040</t>
        </is>
      </c>
      <c r="D128" s="5" t="inlineStr">
        <is>
          <t>TC-134</t>
        </is>
      </c>
      <c r="E128" s="5" t="inlineStr">
        <is>
          <t>Transferencia parcial</t>
        </is>
      </c>
      <c r="F128" s="5" t="inlineStr">
        <is>
          <t>Integración</t>
        </is>
      </c>
      <c r="G128" s="5" t="inlineStr">
        <is>
          <t>Funcional</t>
        </is>
      </c>
      <c r="H128" s="5" t="inlineStr">
        <is>
          <t>Manual (caja negra) + Katalon Recorder</t>
        </is>
      </c>
      <c r="I128" s="5" t="inlineStr">
        <is>
          <t>Casos y Escenarios FuBank.xlsx · katalon/casos</t>
        </is>
      </c>
      <c r="J128" s="5" t="inlineStr">
        <is>
          <t>Se agrega un monto menor al saldo de la cuenta; el sistema ajusta ambos saldos</t>
        </is>
      </c>
      <c r="K128" s="5" t="inlineStr">
        <is>
          <t>Según lo esperado</t>
        </is>
      </c>
      <c r="L128" s="6" t="inlineStr">
        <is>
          <t>Aprobado</t>
        </is>
      </c>
      <c r="M128" s="5" t="inlineStr">
        <is>
          <t>2026-10-10</t>
        </is>
      </c>
      <c r="N128" s="5" t="inlineStr">
        <is>
          <t>katalon/evidencias/ · Excel (hoja Casos de Prueba Detallado)</t>
        </is>
      </c>
      <c r="O128" s="5" t="inlineStr">
        <is>
          <t>-</t>
        </is>
      </c>
    </row>
    <row r="129">
      <c r="A129" s="5" t="inlineStr">
        <is>
          <t>HU-26</t>
        </is>
      </c>
      <c r="B129" s="5" t="inlineStr">
        <is>
          <t>Transferir entre bolsillos</t>
        </is>
      </c>
      <c r="C129" s="5" t="inlineStr">
        <is>
          <t>ESC040</t>
        </is>
      </c>
      <c r="D129" s="5" t="inlineStr">
        <is>
          <t>TC-135</t>
        </is>
      </c>
      <c r="E129" s="5" t="inlineStr">
        <is>
          <t>Transferir todo el saldo (límite)</t>
        </is>
      </c>
      <c r="F129" s="5" t="inlineStr">
        <is>
          <t>Integración</t>
        </is>
      </c>
      <c r="G129" s="5" t="inlineStr">
        <is>
          <t>Funcional</t>
        </is>
      </c>
      <c r="H129" s="5" t="inlineStr">
        <is>
          <t>Manual (caja negra) + Katalon Recorder</t>
        </is>
      </c>
      <c r="I129" s="5" t="inlineStr">
        <is>
          <t>Casos y Escenarios FuBank.xlsx · katalon/casos</t>
        </is>
      </c>
      <c r="J129" s="5" t="inlineStr">
        <is>
          <t>Se agrega todo el saldo de la cuenta al un bolsillo; la cuenta queda en 0 y el bolsillo recibe el monto</t>
        </is>
      </c>
      <c r="K129" s="5" t="inlineStr">
        <is>
          <t>Según lo esperado</t>
        </is>
      </c>
      <c r="L129" s="6" t="inlineStr">
        <is>
          <t>Aprobado</t>
        </is>
      </c>
      <c r="M129" s="5" t="inlineStr">
        <is>
          <t>2026-10-10</t>
        </is>
      </c>
      <c r="N129" s="5" t="inlineStr">
        <is>
          <t>katalon/evidencias/ · Excel (hoja Casos de Prueba Detallado)</t>
        </is>
      </c>
      <c r="O129" s="5" t="inlineStr">
        <is>
          <t>-</t>
        </is>
      </c>
    </row>
    <row r="130">
      <c r="A130" s="5" t="inlineStr">
        <is>
          <t>HU-26</t>
        </is>
      </c>
      <c r="B130" s="5" t="inlineStr">
        <is>
          <t>Transferir entre bolsillos</t>
        </is>
      </c>
      <c r="C130" s="5" t="inlineStr">
        <is>
          <t>ESC040</t>
        </is>
      </c>
      <c r="D130" s="5" t="inlineStr">
        <is>
          <t>TC-136</t>
        </is>
      </c>
      <c r="E130" s="5" t="inlineStr">
        <is>
          <t>Transferir monto mayor al saldo</t>
        </is>
      </c>
      <c r="F130" s="5" t="inlineStr">
        <is>
          <t>Integración</t>
        </is>
      </c>
      <c r="G130" s="5" t="inlineStr">
        <is>
          <t>Funcional</t>
        </is>
      </c>
      <c r="H130" s="5" t="inlineStr">
        <is>
          <t>Manual (caja negra) + Katalon Recorder</t>
        </is>
      </c>
      <c r="I130" s="5" t="inlineStr">
        <is>
          <t>Casos y Escenarios FuBank.xlsx · katalon/casos</t>
        </is>
      </c>
      <c r="J130" s="5" t="inlineStr">
        <is>
          <t>Se agrega un monto mayor al saldo disponible de la cuenta; el sistema no lo permite.</t>
        </is>
      </c>
      <c r="K130" s="5" t="inlineStr">
        <is>
          <t>Según lo esperado</t>
        </is>
      </c>
      <c r="L130" s="6" t="inlineStr">
        <is>
          <t>Aprobado</t>
        </is>
      </c>
      <c r="M130" s="5" t="inlineStr">
        <is>
          <t>2026-10-10</t>
        </is>
      </c>
      <c r="N130" s="5" t="inlineStr">
        <is>
          <t>katalon/evidencias/ · Excel (hoja Casos de Prueba Detallado)</t>
        </is>
      </c>
      <c r="O130" s="5" t="inlineStr">
        <is>
          <t>-</t>
        </is>
      </c>
    </row>
    <row r="131">
      <c r="A131" s="5" t="inlineStr">
        <is>
          <t>HU-26</t>
        </is>
      </c>
      <c r="B131" s="5" t="inlineStr">
        <is>
          <t>Transferir entre bolsillos</t>
        </is>
      </c>
      <c r="C131" s="5" t="inlineStr">
        <is>
          <t>ESC040</t>
        </is>
      </c>
      <c r="D131" s="5" t="inlineStr">
        <is>
          <t>TC-137</t>
        </is>
      </c>
      <c r="E131" s="5" t="inlineStr">
        <is>
          <t>Transferir monto negativo</t>
        </is>
      </c>
      <c r="F131" s="5" t="inlineStr">
        <is>
          <t>Integración</t>
        </is>
      </c>
      <c r="G131" s="5" t="inlineStr">
        <is>
          <t>Funcional</t>
        </is>
      </c>
      <c r="H131" s="5" t="inlineStr">
        <is>
          <t>Manual (caja negra) + Katalon Recorder</t>
        </is>
      </c>
      <c r="I131" s="5" t="inlineStr">
        <is>
          <t>Casos y Escenarios FuBank.xlsx · katalon/casos</t>
        </is>
      </c>
      <c r="J131" s="5" t="inlineStr">
        <is>
          <t>Se agrega un monto negativo; el sistema no lo permite.</t>
        </is>
      </c>
      <c r="K131" s="5" t="inlineStr">
        <is>
          <t>Según lo esperado</t>
        </is>
      </c>
      <c r="L131" s="6" t="inlineStr">
        <is>
          <t>Aprobado</t>
        </is>
      </c>
      <c r="M131" s="5" t="inlineStr">
        <is>
          <t>2026-10-10</t>
        </is>
      </c>
      <c r="N131" s="5" t="inlineStr">
        <is>
          <t>katalon/evidencias/ · Excel (hoja Casos de Prueba Detallado)</t>
        </is>
      </c>
      <c r="O131" s="5" t="inlineStr">
        <is>
          <t>-</t>
        </is>
      </c>
    </row>
    <row r="132">
      <c r="A132" s="5" t="inlineStr">
        <is>
          <t>HU-26</t>
        </is>
      </c>
      <c r="B132" s="5" t="inlineStr">
        <is>
          <t>Transferir entre bolsillos</t>
        </is>
      </c>
      <c r="C132" s="5" t="inlineStr">
        <is>
          <t>ESC041</t>
        </is>
      </c>
      <c r="D132" s="5" t="inlineStr">
        <is>
          <t>TC-138</t>
        </is>
      </c>
      <c r="E132" s="5" t="inlineStr">
        <is>
          <t>Retirar monto parcial</t>
        </is>
      </c>
      <c r="F132" s="5" t="inlineStr">
        <is>
          <t>Integración</t>
        </is>
      </c>
      <c r="G132" s="5" t="inlineStr">
        <is>
          <t>Funcional</t>
        </is>
      </c>
      <c r="H132" s="5" t="inlineStr">
        <is>
          <t>Manual (caja negra) + Katalon Recorder</t>
        </is>
      </c>
      <c r="I132" s="5" t="inlineStr">
        <is>
          <t>Casos y Escenarios FuBank.xlsx · katalon/casos</t>
        </is>
      </c>
      <c r="J132" s="5" t="inlineStr">
        <is>
          <t>Se retira un monto menor al saldo disponible del bolsillo y se ve reflejado en la cuenta; el sistema lo permite</t>
        </is>
      </c>
      <c r="K132" s="5" t="inlineStr">
        <is>
          <t>Según lo esperado</t>
        </is>
      </c>
      <c r="L132" s="6" t="inlineStr">
        <is>
          <t>Aprobado</t>
        </is>
      </c>
      <c r="M132" s="5" t="inlineStr">
        <is>
          <t>2026-10-10</t>
        </is>
      </c>
      <c r="N132" s="5" t="inlineStr">
        <is>
          <t>katalon/evidencias/ · Excel (hoja Casos de Prueba Detallado)</t>
        </is>
      </c>
      <c r="O132" s="5" t="inlineStr">
        <is>
          <t>-</t>
        </is>
      </c>
    </row>
    <row r="133">
      <c r="A133" s="5" t="inlineStr">
        <is>
          <t>HU-26</t>
        </is>
      </c>
      <c r="B133" s="5" t="inlineStr">
        <is>
          <t>Transferir entre bolsillos</t>
        </is>
      </c>
      <c r="C133" s="5" t="inlineStr">
        <is>
          <t>ESC041</t>
        </is>
      </c>
      <c r="D133" s="5" t="inlineStr">
        <is>
          <t>TC-139</t>
        </is>
      </c>
      <c r="E133" s="5" t="inlineStr">
        <is>
          <t>Retirar todo el saldo</t>
        </is>
      </c>
      <c r="F133" s="5" t="inlineStr">
        <is>
          <t>Integración</t>
        </is>
      </c>
      <c r="G133" s="5" t="inlineStr">
        <is>
          <t>Funcional</t>
        </is>
      </c>
      <c r="H133" s="5" t="inlineStr">
        <is>
          <t>Manual (caja negra) + Katalon Recorder</t>
        </is>
      </c>
      <c r="I133" s="5" t="inlineStr">
        <is>
          <t>Casos y Escenarios FuBank.xlsx · katalon/casos</t>
        </is>
      </c>
      <c r="J133" s="5" t="inlineStr">
        <is>
          <t>Se retira todo el saldo disponible del bolsillo y se ve reflejado en la cuenta; el sistema lo permite</t>
        </is>
      </c>
      <c r="K133" s="5" t="inlineStr">
        <is>
          <t>Según lo esperado</t>
        </is>
      </c>
      <c r="L133" s="6" t="inlineStr">
        <is>
          <t>Aprobado</t>
        </is>
      </c>
      <c r="M133" s="5" t="inlineStr">
        <is>
          <t>2026-10-10</t>
        </is>
      </c>
      <c r="N133" s="5" t="inlineStr">
        <is>
          <t>katalon/evidencias/ · Excel (hoja Casos de Prueba Detallado)</t>
        </is>
      </c>
      <c r="O133" s="5" t="inlineStr">
        <is>
          <t>-</t>
        </is>
      </c>
    </row>
    <row r="134">
      <c r="A134" s="5" t="inlineStr">
        <is>
          <t>HU-26</t>
        </is>
      </c>
      <c r="B134" s="5" t="inlineStr">
        <is>
          <t>Transferir entre bolsillos</t>
        </is>
      </c>
      <c r="C134" s="5" t="inlineStr">
        <is>
          <t>ESC041</t>
        </is>
      </c>
      <c r="D134" s="5" t="inlineStr">
        <is>
          <t>TC-140</t>
        </is>
      </c>
      <c r="E134" s="5" t="inlineStr">
        <is>
          <t>Retirar monto mayor al saldo</t>
        </is>
      </c>
      <c r="F134" s="5" t="inlineStr">
        <is>
          <t>Unitaria</t>
        </is>
      </c>
      <c r="G134" s="5" t="inlineStr">
        <is>
          <t>Funcional</t>
        </is>
      </c>
      <c r="H134" s="5" t="inlineStr">
        <is>
          <t>Manual (caja negra) + Katalon Recorder</t>
        </is>
      </c>
      <c r="I134" s="5" t="inlineStr">
        <is>
          <t>Casos y Escenarios FuBank.xlsx · katalon/casos</t>
        </is>
      </c>
      <c r="J134" s="5" t="inlineStr">
        <is>
          <t xml:space="preserve">Se retira un monto mayor al saldo del bolsillo; el sistema no lo permite </t>
        </is>
      </c>
      <c r="K134" s="5" t="inlineStr">
        <is>
          <t>Según lo esperado</t>
        </is>
      </c>
      <c r="L134" s="6" t="inlineStr">
        <is>
          <t>Aprobado</t>
        </is>
      </c>
      <c r="M134" s="5" t="inlineStr">
        <is>
          <t>2026-10-10</t>
        </is>
      </c>
      <c r="N134" s="5" t="inlineStr">
        <is>
          <t>katalon/evidencias/ · Excel (hoja Casos de Prueba Detallado)</t>
        </is>
      </c>
      <c r="O134" s="5" t="inlineStr">
        <is>
          <t>-</t>
        </is>
      </c>
    </row>
    <row r="135">
      <c r="A135" s="5" t="inlineStr">
        <is>
          <t>HU-26</t>
        </is>
      </c>
      <c r="B135" s="5" t="inlineStr">
        <is>
          <t>Transferir entre bolsillos</t>
        </is>
      </c>
      <c r="C135" s="5" t="inlineStr">
        <is>
          <t>ESC041</t>
        </is>
      </c>
      <c r="D135" s="5" t="inlineStr">
        <is>
          <t>TC-141</t>
        </is>
      </c>
      <c r="E135" s="5" t="inlineStr">
        <is>
          <t>Retirar un monto negativo</t>
        </is>
      </c>
      <c r="F135" s="5" t="inlineStr">
        <is>
          <t>Unitaria</t>
        </is>
      </c>
      <c r="G135" s="5" t="inlineStr">
        <is>
          <t>Funcional</t>
        </is>
      </c>
      <c r="H135" s="5" t="inlineStr">
        <is>
          <t>Manual (caja negra) + Katalon Recorder</t>
        </is>
      </c>
      <c r="I135" s="5" t="inlineStr">
        <is>
          <t>Casos y Escenarios FuBank.xlsx · katalon/casos</t>
        </is>
      </c>
      <c r="J135" s="5" t="inlineStr">
        <is>
          <t xml:space="preserve">Se retira un monto negativo del bolsillo; el sistema no lo permite </t>
        </is>
      </c>
      <c r="K135" s="5" t="inlineStr">
        <is>
          <t>Según lo esperado</t>
        </is>
      </c>
      <c r="L135" s="6" t="inlineStr">
        <is>
          <t>Aprobado</t>
        </is>
      </c>
      <c r="M135" s="5" t="inlineStr">
        <is>
          <t>2026-10-10</t>
        </is>
      </c>
      <c r="N135" s="5" t="inlineStr">
        <is>
          <t>katalon/evidencias/ · Excel (hoja Casos de Prueba Detallado)</t>
        </is>
      </c>
      <c r="O135" s="5" t="inlineStr">
        <is>
          <t>-</t>
        </is>
      </c>
    </row>
    <row r="136">
      <c r="A136" s="5" t="inlineStr">
        <is>
          <t>HU-26</t>
        </is>
      </c>
      <c r="B136" s="5" t="inlineStr">
        <is>
          <t>Transferir entre bolsillos</t>
        </is>
      </c>
      <c r="C136" s="5" t="inlineStr">
        <is>
          <t>04 Transferir entre bolsillos</t>
        </is>
      </c>
      <c r="D136" s="5" t="inlineStr">
        <is>
          <t>PM-TR-01</t>
        </is>
      </c>
      <c r="E136" s="5" t="inlineStr">
        <is>
          <t>Transferir 30.000 de "Viaje a Cartagena" a "Mercado"</t>
        </is>
      </c>
      <c r="F136" s="5" t="inlineStr">
        <is>
          <t>Integración (API)</t>
        </is>
      </c>
      <c r="G136" s="5" t="inlineStr">
        <is>
          <t>Funcional</t>
        </is>
      </c>
      <c r="H136" s="5" t="inlineStr">
        <is>
          <t>Postman + Newman (herramienta IA 2)</t>
        </is>
      </c>
      <c r="I136" s="5" t="inlineStr">
        <is>
          <t>02-postman-postbot/FuBanking-Bolsillos.postman_collection.json</t>
        </is>
      </c>
      <c r="J136" s="5" t="inlineStr">
        <is>
          <t>200, 120.000 / 80.000 y la cuenta sigue en 300.000.</t>
        </is>
      </c>
      <c r="K136" s="5" t="inlineStr">
        <is>
          <t>5/5 aserciones correctas</t>
        </is>
      </c>
      <c r="L136" s="6" t="inlineStr">
        <is>
          <t>Aprobado</t>
        </is>
      </c>
      <c r="M136" s="5" t="inlineStr">
        <is>
          <t>2026-10-26</t>
        </is>
      </c>
      <c r="N136" s="5" t="inlineStr">
        <is>
          <t>02-postman-postbot/evidence/newman-report.html</t>
        </is>
      </c>
      <c r="O136" s="5" t="inlineStr">
        <is>
          <t>-</t>
        </is>
      </c>
    </row>
    <row r="137">
      <c r="A137" s="5" t="inlineStr">
        <is>
          <t>HU-26</t>
        </is>
      </c>
      <c r="B137" s="5" t="inlineStr">
        <is>
          <t>Transferir entre bolsillos</t>
        </is>
      </c>
      <c r="C137" s="5" t="inlineStr">
        <is>
          <t>04 Transferir entre bolsillos</t>
        </is>
      </c>
      <c r="D137" s="5" t="inlineStr">
        <is>
          <t>PM-TR-02</t>
        </is>
      </c>
      <c r="E137" s="5" t="inlineStr">
        <is>
          <t>Rechazar más de lo que tiene el origen</t>
        </is>
      </c>
      <c r="F137" s="5" t="inlineStr">
        <is>
          <t>Integración (API)</t>
        </is>
      </c>
      <c r="G137" s="5" t="inlineStr">
        <is>
          <t>Funcional</t>
        </is>
      </c>
      <c r="H137" s="5" t="inlineStr">
        <is>
          <t>Postman + Newman (herramienta IA 2)</t>
        </is>
      </c>
      <c r="I137" s="5" t="inlineStr">
        <is>
          <t>02-postman-postbot/FuBanking-Bolsillos.postman_collection.json</t>
        </is>
      </c>
      <c r="J137" s="5" t="inlineStr">
        <is>
          <t>400 INSUFFICIENT_POCKET_BALANCE.</t>
        </is>
      </c>
      <c r="K137" s="5" t="inlineStr">
        <is>
          <t>4/4 aserciones correctas</t>
        </is>
      </c>
      <c r="L137" s="6" t="inlineStr">
        <is>
          <t>Aprobado</t>
        </is>
      </c>
      <c r="M137" s="5" t="inlineStr">
        <is>
          <t>2026-10-26</t>
        </is>
      </c>
      <c r="N137" s="5" t="inlineStr">
        <is>
          <t>02-postman-postbot/evidence/newman-report.html</t>
        </is>
      </c>
      <c r="O137" s="5" t="inlineStr">
        <is>
          <t>-</t>
        </is>
      </c>
    </row>
    <row r="138">
      <c r="A138" s="5" t="inlineStr">
        <is>
          <t>HU-26</t>
        </is>
      </c>
      <c r="B138" s="5" t="inlineStr">
        <is>
          <t>Transferir entre bolsillos</t>
        </is>
      </c>
      <c r="C138" s="5" t="inlineStr">
        <is>
          <t>04 Transferir entre bolsillos</t>
        </is>
      </c>
      <c r="D138" s="5" t="inlineStr">
        <is>
          <t>PM-TR-03</t>
        </is>
      </c>
      <c r="E138" s="5" t="inlineStr">
        <is>
          <t>Rechazar origen y destino iguales</t>
        </is>
      </c>
      <c r="F138" s="5" t="inlineStr">
        <is>
          <t>Integración (API)</t>
        </is>
      </c>
      <c r="G138" s="5" t="inlineStr">
        <is>
          <t>Funcional</t>
        </is>
      </c>
      <c r="H138" s="5" t="inlineStr">
        <is>
          <t>Postman + Newman (herramienta IA 2)</t>
        </is>
      </c>
      <c r="I138" s="5" t="inlineStr">
        <is>
          <t>02-postman-postbot/FuBanking-Bolsillos.postman_collection.json</t>
        </is>
      </c>
      <c r="J138" s="5" t="inlineStr">
        <is>
          <t>400 INVALID_TRANSFER_TARGET.</t>
        </is>
      </c>
      <c r="K138" s="5" t="inlineStr">
        <is>
          <t>4/4 aserciones correctas</t>
        </is>
      </c>
      <c r="L138" s="6" t="inlineStr">
        <is>
          <t>Aprobado</t>
        </is>
      </c>
      <c r="M138" s="5" t="inlineStr">
        <is>
          <t>2026-10-26</t>
        </is>
      </c>
      <c r="N138" s="5" t="inlineStr">
        <is>
          <t>02-postman-postbot/evidence/newman-report.html</t>
        </is>
      </c>
      <c r="O138" s="5" t="inlineStr">
        <is>
          <t>-</t>
        </is>
      </c>
    </row>
    <row r="139">
      <c r="A139" s="5" t="inlineStr">
        <is>
          <t>HU-26</t>
        </is>
      </c>
      <c r="B139" s="5" t="inlineStr">
        <is>
          <t>Transferir entre bolsillos</t>
        </is>
      </c>
      <c r="C139" s="5" t="inlineStr">
        <is>
          <t>transferir_entre_bolsillos.feature</t>
        </is>
      </c>
      <c r="D139" s="5" t="inlineStr">
        <is>
          <t>SJ-TRA-01</t>
        </is>
      </c>
      <c r="E139" s="5" t="inlineStr">
        <is>
          <t>Mover dinero de un bolsillo a otro</t>
        </is>
      </c>
      <c r="F139" s="5" t="inlineStr">
        <is>
          <t>Integración (API)</t>
        </is>
      </c>
      <c r="G139" s="5" t="inlineStr">
        <is>
          <t>Funcional</t>
        </is>
      </c>
      <c r="H139" s="5" t="inlineStr">
        <is>
          <t>Serenity/JS Screenplay + Gherkin</t>
        </is>
      </c>
      <c r="I139" s="5" t="inlineStr">
        <is>
          <t>e2e/serenity/features/transferir_entre_bolsillos.feature</t>
        </is>
      </c>
      <c r="J139" s="5" t="inlineStr">
        <is>
          <t>la respuesta HTTP tiene estado 200; su bolsillo "Vacaciones" tiene 70000; su bolsillo "Mercado" tiene 80000; el saldo de su cuenta es 350000</t>
        </is>
      </c>
      <c r="K139" s="5" t="inlineStr">
        <is>
          <t>Todos los pasos pasaron</t>
        </is>
      </c>
      <c r="L139" s="6" t="inlineStr">
        <is>
          <t>Aprobado</t>
        </is>
      </c>
      <c r="M139" s="5" t="inlineStr">
        <is>
          <t>2026-10-26</t>
        </is>
      </c>
      <c r="N139" s="5" t="inlineStr">
        <is>
          <t>e2e/serenity/reports/serenity-js (HTML)</t>
        </is>
      </c>
      <c r="O139" s="5" t="inlineStr">
        <is>
          <t>-</t>
        </is>
      </c>
    </row>
    <row r="140">
      <c r="A140" s="5" t="inlineStr">
        <is>
          <t>HU-26</t>
        </is>
      </c>
      <c r="B140" s="5" t="inlineStr">
        <is>
          <t>Transferir entre bolsillos</t>
        </is>
      </c>
      <c r="C140" s="5" t="inlineStr">
        <is>
          <t>transferir_entre_bolsillos.feature</t>
        </is>
      </c>
      <c r="D140" s="5" t="inlineStr">
        <is>
          <t>SJ-TRA-02</t>
        </is>
      </c>
      <c r="E140" s="5" t="inlineStr">
        <is>
          <t>Se puede transferir todo el saldo de un bolsillo</t>
        </is>
      </c>
      <c r="F140" s="5" t="inlineStr">
        <is>
          <t>Integración (API)</t>
        </is>
      </c>
      <c r="G140" s="5" t="inlineStr">
        <is>
          <t>Funcional</t>
        </is>
      </c>
      <c r="H140" s="5" t="inlineStr">
        <is>
          <t>Serenity/JS Screenplay + Gherkin</t>
        </is>
      </c>
      <c r="I140" s="5" t="inlineStr">
        <is>
          <t>e2e/serenity/features/transferir_entre_bolsillos.feature</t>
        </is>
      </c>
      <c r="J140" s="5" t="inlineStr">
        <is>
          <t>la respuesta HTTP tiene estado 200; su bolsillo "Vacaciones" tiene 0; su bolsillo "Mercado" tiene 150000</t>
        </is>
      </c>
      <c r="K140" s="5" t="inlineStr">
        <is>
          <t>Todos los pasos pasaron</t>
        </is>
      </c>
      <c r="L140" s="6" t="inlineStr">
        <is>
          <t>Aprobado</t>
        </is>
      </c>
      <c r="M140" s="5" t="inlineStr">
        <is>
          <t>2026-10-26</t>
        </is>
      </c>
      <c r="N140" s="5" t="inlineStr">
        <is>
          <t>e2e/serenity/reports/serenity-js (HTML)</t>
        </is>
      </c>
      <c r="O140" s="5" t="inlineStr">
        <is>
          <t>-</t>
        </is>
      </c>
    </row>
    <row r="141">
      <c r="A141" s="5" t="inlineStr">
        <is>
          <t>HU-26</t>
        </is>
      </c>
      <c r="B141" s="5" t="inlineStr">
        <is>
          <t>Transferir entre bolsillos</t>
        </is>
      </c>
      <c r="C141" s="5" t="inlineStr">
        <is>
          <t>transferir_entre_bolsillos.feature</t>
        </is>
      </c>
      <c r="D141" s="5" t="inlineStr">
        <is>
          <t>SJ-TRA-03</t>
        </is>
      </c>
      <c r="E141" s="5" t="inlineStr">
        <is>
          <t>No se puede transferir más de lo que tiene el bolsillo de origen</t>
        </is>
      </c>
      <c r="F141" s="5" t="inlineStr">
        <is>
          <t>Integración (API)</t>
        </is>
      </c>
      <c r="G141" s="5" t="inlineStr">
        <is>
          <t>Funcional</t>
        </is>
      </c>
      <c r="H141" s="5" t="inlineStr">
        <is>
          <t>Serenity/JS Screenplay + Gherkin</t>
        </is>
      </c>
      <c r="I141" s="5" t="inlineStr">
        <is>
          <t>e2e/serenity/features/transferir_entre_bolsillos.feature</t>
        </is>
      </c>
      <c r="J141" s="5" t="inlineStr">
        <is>
          <t>la respuesta HTTP tiene estado 400; el código de error es "INSUFFICIENT_POCKET_BALANCE"; su bolsillo "Vacaciones" tiene 100000</t>
        </is>
      </c>
      <c r="K141" s="5" t="inlineStr">
        <is>
          <t>Todos los pasos pasaron</t>
        </is>
      </c>
      <c r="L141" s="6" t="inlineStr">
        <is>
          <t>Aprobado</t>
        </is>
      </c>
      <c r="M141" s="5" t="inlineStr">
        <is>
          <t>2026-10-26</t>
        </is>
      </c>
      <c r="N141" s="5" t="inlineStr">
        <is>
          <t>e2e/serenity/reports/serenity-js (HTML)</t>
        </is>
      </c>
      <c r="O141" s="5" t="inlineStr">
        <is>
          <t>-</t>
        </is>
      </c>
    </row>
    <row r="142">
      <c r="A142" s="5" t="inlineStr">
        <is>
          <t>HU-26</t>
        </is>
      </c>
      <c r="B142" s="5" t="inlineStr">
        <is>
          <t>Transferir entre bolsillos</t>
        </is>
      </c>
      <c r="C142" s="5" t="inlineStr">
        <is>
          <t>transferir_entre_bolsillos.feature</t>
        </is>
      </c>
      <c r="D142" s="5" t="inlineStr">
        <is>
          <t>SJ-TRA-04</t>
        </is>
      </c>
      <c r="E142" s="5" t="inlineStr">
        <is>
          <t>El bolsillo de origen y el de destino deben ser diferentes</t>
        </is>
      </c>
      <c r="F142" s="5" t="inlineStr">
        <is>
          <t>Integración (API)</t>
        </is>
      </c>
      <c r="G142" s="5" t="inlineStr">
        <is>
          <t>Funcional</t>
        </is>
      </c>
      <c r="H142" s="5" t="inlineStr">
        <is>
          <t>Serenity/JS Screenplay + Gherkin</t>
        </is>
      </c>
      <c r="I142" s="5" t="inlineStr">
        <is>
          <t>e2e/serenity/features/transferir_entre_bolsillos.feature</t>
        </is>
      </c>
      <c r="J142" s="5" t="inlineStr">
        <is>
          <t>la respuesta HTTP tiene estado 400; el código de error es "INVALID_TRANSFER_TARGET"</t>
        </is>
      </c>
      <c r="K142" s="5" t="inlineStr">
        <is>
          <t>Todos los pasos pasaron</t>
        </is>
      </c>
      <c r="L142" s="6" t="inlineStr">
        <is>
          <t>Aprobado</t>
        </is>
      </c>
      <c r="M142" s="5" t="inlineStr">
        <is>
          <t>2026-10-26</t>
        </is>
      </c>
      <c r="N142" s="5" t="inlineStr">
        <is>
          <t>e2e/serenity/reports/serenity-js (HTML)</t>
        </is>
      </c>
      <c r="O142" s="5" t="inlineStr">
        <is>
          <t>-</t>
        </is>
      </c>
    </row>
    <row r="143">
      <c r="A143" s="5" t="inlineStr">
        <is>
          <t>HU-26</t>
        </is>
      </c>
      <c r="B143" s="5" t="inlineStr">
        <is>
          <t>Transferir entre bolsillos</t>
        </is>
      </c>
      <c r="C143" s="5" t="inlineStr">
        <is>
          <t>transferir_entre_bolsillos.feature</t>
        </is>
      </c>
      <c r="D143" s="5" t="inlineStr">
        <is>
          <t>SJ-TRA-05</t>
        </is>
      </c>
      <c r="E143" s="5" t="inlineStr">
        <is>
          <t>Transferir entre bolsillos desde la pantalla</t>
        </is>
      </c>
      <c r="F143" s="5" t="inlineStr">
        <is>
          <t>Sistema (E2E UI)</t>
        </is>
      </c>
      <c r="G143" s="5" t="inlineStr">
        <is>
          <t>Funcional</t>
        </is>
      </c>
      <c r="H143" s="5" t="inlineStr">
        <is>
          <t>Serenity/JS Screenplay + Gherkin</t>
        </is>
      </c>
      <c r="I143" s="5" t="inlineStr">
        <is>
          <t>e2e/serenity/features/transferir_entre_bolsillos.feature</t>
        </is>
      </c>
      <c r="J143" s="5" t="inlineStr">
        <is>
          <t>ella ve la notificación "Transferencia realizada"; ella ve el bolsillo "Vacaciones" con 70000; ella ve el bolsillo "Mercado" con 80000</t>
        </is>
      </c>
      <c r="K143" s="5" t="inlineStr">
        <is>
          <t>Todos los pasos pasaron</t>
        </is>
      </c>
      <c r="L143" s="6" t="inlineStr">
        <is>
          <t>Aprobado</t>
        </is>
      </c>
      <c r="M143" s="5" t="inlineStr">
        <is>
          <t>2026-10-26</t>
        </is>
      </c>
      <c r="N143" s="5" t="inlineStr">
        <is>
          <t>e2e/serenity/reports/serenity-js (HTML)</t>
        </is>
      </c>
      <c r="O143" s="5" t="inlineStr">
        <is>
          <t>-</t>
        </is>
      </c>
    </row>
    <row r="144">
      <c r="A144" s="5" t="inlineStr">
        <is>
          <t>HU-26</t>
        </is>
      </c>
      <c r="B144" s="5" t="inlineStr">
        <is>
          <t>Transferir entre bolsillos</t>
        </is>
      </c>
      <c r="C144" s="5" t="inlineStr">
        <is>
          <t>Stagehand + Claude</t>
        </is>
      </c>
      <c r="D144" s="5" t="inlineStr">
        <is>
          <t>SH-B05</t>
        </is>
      </c>
      <c r="E144" s="5" t="inlineStr">
        <is>
          <t>La IA mueve dinero de un bolsillo a otro con el formulario de transferencia. (act + extract)</t>
        </is>
      </c>
      <c r="F144" s="5" t="inlineStr">
        <is>
          <t>Sistema (E2E UI con IA)</t>
        </is>
      </c>
      <c r="G144" s="5" t="inlineStr">
        <is>
          <t>Funcional</t>
        </is>
      </c>
      <c r="H144" s="5" t="inlineStr">
        <is>
          <t>Stagehand (act/observe/extract)</t>
        </is>
      </c>
      <c r="I144" s="5" t="inlineStr">
        <is>
          <t>e2e/stagehand/src/bolsillos/scenarios.ts</t>
        </is>
      </c>
      <c r="J144" s="5" t="inlineStr">
        <is>
          <t>Toast "Transferencia realizada", Vacaciones 70.000, Mercado 80.000 y la cuenta sigue en 350.000.</t>
        </is>
      </c>
      <c r="K144" s="5" t="inlineStr">
        <is>
          <t>4/4 validaciones correctas</t>
        </is>
      </c>
      <c r="L144" s="6" t="inlineStr">
        <is>
          <t>Aprobado</t>
        </is>
      </c>
      <c r="M144" s="5" t="inlineStr">
        <is>
          <t>2026-10-26</t>
        </is>
      </c>
      <c r="N144" s="5" t="inlineStr">
        <is>
          <t>e2e/stagehand/evidence/bolsillos/SH-B05-*.png · SH-B05-report.json</t>
        </is>
      </c>
      <c r="O144" s="5" t="inlineStr">
        <is>
          <t>-</t>
        </is>
      </c>
    </row>
    <row r="145">
      <c r="A145" s="5" t="inlineStr">
        <is>
          <t>HU-26</t>
        </is>
      </c>
      <c r="B145" s="5" t="inlineStr">
        <is>
          <t>Transferir entre bolsillos</t>
        </is>
      </c>
      <c r="C145" s="5" t="inlineStr">
        <is>
          <t>Suite automatizada</t>
        </is>
      </c>
      <c r="D145" s="5" t="inlineStr">
        <is>
          <t>VT-TransferPocketBalance</t>
        </is>
      </c>
      <c r="E145" s="5" t="inlineStr">
        <is>
          <t>TransferPocketBalance.test.ts (11 pruebas)</t>
        </is>
      </c>
      <c r="F145" s="5" t="inlineStr">
        <is>
          <t>Unitaria / Integración</t>
        </is>
      </c>
      <c r="G145" s="5" t="inlineStr">
        <is>
          <t>Funcional (regresión)</t>
        </is>
      </c>
      <c r="H145" s="5" t="inlineStr">
        <is>
          <t>Vitest · regresión + unitarias (AAA, 5 dobles)</t>
        </is>
      </c>
      <c r="I145" s="5" t="inlineStr">
        <is>
          <t>TransferPocketBalance.test.ts</t>
        </is>
      </c>
      <c r="J145" s="5" t="inlineStr">
        <is>
          <t>Todas las pruebas del archivo pasan (incluye `it.fails` de defectos abiertos)</t>
        </is>
      </c>
      <c r="K145" s="5" t="inlineStr">
        <is>
          <t>11/11 pasan</t>
        </is>
      </c>
      <c r="L145" s="6" t="inlineStr">
        <is>
          <t>Aprobado</t>
        </is>
      </c>
      <c r="M145" s="5" t="inlineStr">
        <is>
          <t>2026-10-26</t>
        </is>
      </c>
      <c r="N145" s="5" t="inlineStr">
        <is>
          <t>docs/evidencia-final-bolsillos/vitest-regresion.json</t>
        </is>
      </c>
      <c r="O145" s="5" t="inlineStr">
        <is>
          <t>-</t>
        </is>
      </c>
    </row>
    <row r="146">
      <c r="A146" s="5" t="inlineStr">
        <is>
          <t>HU-26</t>
        </is>
      </c>
      <c r="B146" s="5" t="inlineStr">
        <is>
          <t>Transferir entre bolsillos</t>
        </is>
      </c>
      <c r="C146" s="5" t="inlineStr">
        <is>
          <t>Suite automatizada</t>
        </is>
      </c>
      <c r="D146" s="5" t="inlineStr">
        <is>
          <t>VT-transferir</t>
        </is>
      </c>
      <c r="E146" s="5" t="inlineStr">
        <is>
          <t>transferir.regression.test.ts (15 pruebas)</t>
        </is>
      </c>
      <c r="F146" s="5" t="inlineStr">
        <is>
          <t>Unitaria / Integración</t>
        </is>
      </c>
      <c r="G146" s="5" t="inlineStr">
        <is>
          <t>Funcional (regresión)</t>
        </is>
      </c>
      <c r="H146" s="5" t="inlineStr">
        <is>
          <t>Vitest · regresión + unitarias (AAA, 5 dobles)</t>
        </is>
      </c>
      <c r="I146" s="5" t="inlineStr">
        <is>
          <t>transferir.regression.test.ts</t>
        </is>
      </c>
      <c r="J146" s="5" t="inlineStr">
        <is>
          <t>Todas las pruebas del archivo pasan (incluye `it.fails` de defectos abiertos)</t>
        </is>
      </c>
      <c r="K146" s="5" t="inlineStr">
        <is>
          <t>15/15 pasan</t>
        </is>
      </c>
      <c r="L146" s="6" t="inlineStr">
        <is>
          <t>Aprobado</t>
        </is>
      </c>
      <c r="M146" s="5" t="inlineStr">
        <is>
          <t>2026-10-26</t>
        </is>
      </c>
      <c r="N146" s="5" t="inlineStr">
        <is>
          <t>docs/evidencia-final-bolsillos/vitest-regresion.json</t>
        </is>
      </c>
      <c r="O146" s="5" t="inlineStr">
        <is>
          <t>-</t>
        </is>
      </c>
    </row>
    <row r="147">
      <c r="A147" s="5" t="inlineStr">
        <is>
          <t>EXTRA</t>
        </is>
      </c>
      <c r="B147" s="5" t="inlineStr">
        <is>
          <t>Depositar dinero</t>
        </is>
      </c>
      <c r="C147" s="5" t="inlineStr">
        <is>
          <t>abonar_y_ahorrar.feature</t>
        </is>
      </c>
      <c r="D147" s="5" t="inlineStr">
        <is>
          <t>CY-ABO-01</t>
        </is>
      </c>
      <c r="E147" s="5" t="inlineStr">
        <is>
          <t>Abonar a la cuenta y apartar una parte en un bolsillo nuevo</t>
        </is>
      </c>
      <c r="F147" s="5" t="inlineStr">
        <is>
          <t>Sistema (E2E UI)</t>
        </is>
      </c>
      <c r="G147" s="5" t="inlineStr">
        <is>
          <t>Funcional</t>
        </is>
      </c>
      <c r="H147" s="5" t="inlineStr">
        <is>
          <t>Cypress + Gherkin (cucumber-preprocessor)</t>
        </is>
      </c>
      <c r="I147" s="5" t="inlineStr">
        <is>
          <t>e2e/serenity/features · cypress/bolsillos/features/abonar_y_ahorrar.feature</t>
        </is>
      </c>
      <c r="J147" s="5" t="inlineStr">
        <is>
          <t>él crea el bolsillo "Emergencias" con 50000; él ve el bolsillo "Emergencias" con 50000; el saldo de su cuenta es 150000</t>
        </is>
      </c>
      <c r="K147" s="5" t="inlineStr">
        <is>
          <t>Todos los pasos pasaron</t>
        </is>
      </c>
      <c r="L147" s="6" t="inlineStr">
        <is>
          <t>Aprobado</t>
        </is>
      </c>
      <c r="M147" s="5" t="inlineStr">
        <is>
          <t>2026-10-26</t>
        </is>
      </c>
      <c r="N147" s="5" t="inlineStr">
        <is>
          <t>cypress/reports/bolsillos/cucumber-report.html</t>
        </is>
      </c>
      <c r="O147" s="5" t="inlineStr">
        <is>
          <t>-</t>
        </is>
      </c>
    </row>
    <row r="148">
      <c r="A148" s="5" t="inlineStr">
        <is>
          <t>EXTRA</t>
        </is>
      </c>
      <c r="B148" s="5" t="inlineStr">
        <is>
          <t>Depositar dinero</t>
        </is>
      </c>
      <c r="C148" s="5" t="inlineStr">
        <is>
          <t>accesibilidad.feature</t>
        </is>
      </c>
      <c r="D148" s="5" t="inlineStr">
        <is>
          <t>CY-ACC-04</t>
        </is>
      </c>
      <c r="E148" s="5" t="inlineStr">
        <is>
          <t>El modal para abonar a la cuenta es accesible</t>
        </is>
      </c>
      <c r="F148" s="5" t="inlineStr">
        <is>
          <t>Sistema (E2E UI)</t>
        </is>
      </c>
      <c r="G148" s="5" t="inlineStr">
        <is>
          <t>Accesibilidad</t>
        </is>
      </c>
      <c r="H148" s="5" t="inlineStr">
        <is>
          <t>Cypress + Gherkin (cucumber-preprocessor)</t>
        </is>
      </c>
      <c r="I148" s="5" t="inlineStr">
        <is>
          <t>e2e/serenity/features · cypress/bolsillos/features/accesibilidad.feature</t>
        </is>
      </c>
      <c r="J148" s="5" t="inlineStr">
        <is>
          <t>el diálogo no tiene violaciones de accesibilidad graves; la pantalla no tiene violaciones de accesibilidad graves fuera de los diálogos</t>
        </is>
      </c>
      <c r="K148" s="5" t="inlineStr">
        <is>
          <t>Todos los pasos pasaron</t>
        </is>
      </c>
      <c r="L148" s="6" t="inlineStr">
        <is>
          <t>Aprobado</t>
        </is>
      </c>
      <c r="M148" s="5" t="inlineStr">
        <is>
          <t>2026-10-26</t>
        </is>
      </c>
      <c r="N148" s="5" t="inlineStr">
        <is>
          <t>cypress/reports/bolsillos/cucumber-report.html</t>
        </is>
      </c>
      <c r="O148" s="5" t="inlineStr">
        <is>
          <t>-</t>
        </is>
      </c>
    </row>
    <row r="149">
      <c r="A149" s="5" t="inlineStr">
        <is>
          <t>EXTRA</t>
        </is>
      </c>
      <c r="B149" s="5" t="inlineStr">
        <is>
          <t>Depositar dinero</t>
        </is>
      </c>
      <c r="C149" s="5" t="inlineStr">
        <is>
          <t>depositar.feature</t>
        </is>
      </c>
      <c r="D149" s="5" t="inlineStr">
        <is>
          <t>CY-DEP-01</t>
        </is>
      </c>
      <c r="E149" s="5" t="inlineStr">
        <is>
          <t>Depositar un monto válido</t>
        </is>
      </c>
      <c r="F149" s="5" t="inlineStr">
        <is>
          <t>Integración (API)</t>
        </is>
      </c>
      <c r="G149" s="5" t="inlineStr">
        <is>
          <t>Funcional</t>
        </is>
      </c>
      <c r="H149" s="5" t="inlineStr">
        <is>
          <t>Cypress + Gherkin (cucumber-preprocessor)</t>
        </is>
      </c>
      <c r="I149" s="5" t="inlineStr">
        <is>
          <t>e2e/serenity/features · cypress/bolsillos/features/depositar.feature</t>
        </is>
      </c>
      <c r="J149" s="5" t="inlineStr">
        <is>
          <t>la respuesta HTTP tiene estado 200; el saldo de su cuenta es 250000</t>
        </is>
      </c>
      <c r="K149" s="5" t="inlineStr">
        <is>
          <t>Todos los pasos pasaron</t>
        </is>
      </c>
      <c r="L149" s="6" t="inlineStr">
        <is>
          <t>Aprobado</t>
        </is>
      </c>
      <c r="M149" s="5" t="inlineStr">
        <is>
          <t>2026-10-26</t>
        </is>
      </c>
      <c r="N149" s="5" t="inlineStr">
        <is>
          <t>cypress/reports/bolsillos/cucumber-report.html</t>
        </is>
      </c>
      <c r="O149" s="5" t="inlineStr">
        <is>
          <t>-</t>
        </is>
      </c>
    </row>
    <row r="150">
      <c r="A150" s="5" t="inlineStr">
        <is>
          <t>EXTRA</t>
        </is>
      </c>
      <c r="B150" s="5" t="inlineStr">
        <is>
          <t>Depositar dinero</t>
        </is>
      </c>
      <c r="C150" s="5" t="inlineStr">
        <is>
          <t>depositar.feature</t>
        </is>
      </c>
      <c r="D150" s="5" t="inlineStr">
        <is>
          <t>CY-DEP-02</t>
        </is>
      </c>
      <c r="E150" s="5" t="inlineStr">
        <is>
          <t>Los depósitos se acumulan en el saldo</t>
        </is>
      </c>
      <c r="F150" s="5" t="inlineStr">
        <is>
          <t>Integración (API)</t>
        </is>
      </c>
      <c r="G150" s="5" t="inlineStr">
        <is>
          <t>Funcional</t>
        </is>
      </c>
      <c r="H150" s="5" t="inlineStr">
        <is>
          <t>Cypress + Gherkin (cucumber-preprocessor)</t>
        </is>
      </c>
      <c r="I150" s="5" t="inlineStr">
        <is>
          <t>e2e/serenity/features · cypress/bolsillos/features/depositar.feature</t>
        </is>
      </c>
      <c r="J150" s="5" t="inlineStr">
        <is>
          <t>él deposita por API 50000 en su cuenta; el saldo de su cuenta es 150000</t>
        </is>
      </c>
      <c r="K150" s="5" t="inlineStr">
        <is>
          <t>Todos los pasos pasaron</t>
        </is>
      </c>
      <c r="L150" s="6" t="inlineStr">
        <is>
          <t>Aprobado</t>
        </is>
      </c>
      <c r="M150" s="5" t="inlineStr">
        <is>
          <t>2026-10-26</t>
        </is>
      </c>
      <c r="N150" s="5" t="inlineStr">
        <is>
          <t>cypress/reports/bolsillos/cucumber-report.html</t>
        </is>
      </c>
      <c r="O150" s="5" t="inlineStr">
        <is>
          <t>-</t>
        </is>
      </c>
    </row>
    <row r="151">
      <c r="A151" s="5" t="inlineStr">
        <is>
          <t>EXTRA</t>
        </is>
      </c>
      <c r="B151" s="5" t="inlineStr">
        <is>
          <t>Depositar dinero</t>
        </is>
      </c>
      <c r="C151" s="5" t="inlineStr">
        <is>
          <t>depositar.feature</t>
        </is>
      </c>
      <c r="D151" s="5" t="inlineStr">
        <is>
          <t>CY-DEP-03</t>
        </is>
      </c>
      <c r="E151" s="5" t="inlineStr">
        <is>
          <t>Rechazar un depósito de 0</t>
        </is>
      </c>
      <c r="F151" s="5" t="inlineStr">
        <is>
          <t>Integración (API)</t>
        </is>
      </c>
      <c r="G151" s="5" t="inlineStr">
        <is>
          <t>Funcional</t>
        </is>
      </c>
      <c r="H151" s="5" t="inlineStr">
        <is>
          <t>Cypress + Gherkin (cucumber-preprocessor)</t>
        </is>
      </c>
      <c r="I151" s="5" t="inlineStr">
        <is>
          <t>e2e/serenity/features · cypress/bolsillos/features/depositar.feature</t>
        </is>
      </c>
      <c r="J151" s="5" t="inlineStr">
        <is>
          <t>la respuesta HTTP tiene estado 400; el código de error es "INVALID_AMOUNT"; el saldo de su cuenta es 0</t>
        </is>
      </c>
      <c r="K151" s="5" t="inlineStr">
        <is>
          <t>Todos los pasos pasaron</t>
        </is>
      </c>
      <c r="L151" s="6" t="inlineStr">
        <is>
          <t>Aprobado</t>
        </is>
      </c>
      <c r="M151" s="5" t="inlineStr">
        <is>
          <t>2026-10-26</t>
        </is>
      </c>
      <c r="N151" s="5" t="inlineStr">
        <is>
          <t>cypress/reports/bolsillos/cucumber-report.html</t>
        </is>
      </c>
      <c r="O151" s="5" t="inlineStr">
        <is>
          <t>-</t>
        </is>
      </c>
    </row>
    <row r="152">
      <c r="A152" s="5" t="inlineStr">
        <is>
          <t>EXTRA</t>
        </is>
      </c>
      <c r="B152" s="5" t="inlineStr">
        <is>
          <t>Depositar dinero</t>
        </is>
      </c>
      <c r="C152" s="5" t="inlineStr">
        <is>
          <t>depositar.feature</t>
        </is>
      </c>
      <c r="D152" s="5" t="inlineStr">
        <is>
          <t>CY-DEP-04</t>
        </is>
      </c>
      <c r="E152" s="5" t="inlineStr">
        <is>
          <t>Rechazar un depósito de -50000</t>
        </is>
      </c>
      <c r="F152" s="5" t="inlineStr">
        <is>
          <t>Integración (API)</t>
        </is>
      </c>
      <c r="G152" s="5" t="inlineStr">
        <is>
          <t>Funcional</t>
        </is>
      </c>
      <c r="H152" s="5" t="inlineStr">
        <is>
          <t>Cypress + Gherkin (cucumber-preprocessor)</t>
        </is>
      </c>
      <c r="I152" s="5" t="inlineStr">
        <is>
          <t>e2e/serenity/features · cypress/bolsillos/features/depositar.feature</t>
        </is>
      </c>
      <c r="J152" s="5" t="inlineStr">
        <is>
          <t>la respuesta HTTP tiene estado 400; el código de error es "INVALID_AMOUNT"; el saldo de su cuenta es 0</t>
        </is>
      </c>
      <c r="K152" s="5" t="inlineStr">
        <is>
          <t>Todos los pasos pasaron</t>
        </is>
      </c>
      <c r="L152" s="6" t="inlineStr">
        <is>
          <t>Aprobado</t>
        </is>
      </c>
      <c r="M152" s="5" t="inlineStr">
        <is>
          <t>2026-10-26</t>
        </is>
      </c>
      <c r="N152" s="5" t="inlineStr">
        <is>
          <t>cypress/reports/bolsillos/cucumber-report.html</t>
        </is>
      </c>
      <c r="O152" s="5" t="inlineStr">
        <is>
          <t>-</t>
        </is>
      </c>
    </row>
    <row r="153">
      <c r="A153" s="5" t="inlineStr">
        <is>
          <t>EXTRA</t>
        </is>
      </c>
      <c r="B153" s="5" t="inlineStr">
        <is>
          <t>Depositar dinero</t>
        </is>
      </c>
      <c r="C153" s="5" t="inlineStr">
        <is>
          <t>depositar.feature</t>
        </is>
      </c>
      <c r="D153" s="5" t="inlineStr">
        <is>
          <t>CY-DEP-05</t>
        </is>
      </c>
      <c r="E153" s="5" t="inlineStr">
        <is>
          <t>Rechazar un monto que no es un número (true)</t>
        </is>
      </c>
      <c r="F153" s="5" t="inlineStr">
        <is>
          <t>Integración (API)</t>
        </is>
      </c>
      <c r="G153" s="5" t="inlineStr">
        <is>
          <t>Seguridad</t>
        </is>
      </c>
      <c r="H153" s="5" t="inlineStr">
        <is>
          <t>Cypress + Gherkin (cucumber-preprocessor)</t>
        </is>
      </c>
      <c r="I153" s="5" t="inlineStr">
        <is>
          <t>e2e/serenity/features · cypress/bolsillos/features/depositar.feature</t>
        </is>
      </c>
      <c r="J153" s="5" t="inlineStr">
        <is>
          <t>la respuesta HTTP tiene estado 400; el código de error es "INVALID_AMOUNT"; el saldo de su cuenta es 0</t>
        </is>
      </c>
      <c r="K153" s="5" t="inlineStr">
        <is>
          <t>Todos los pasos pasaron</t>
        </is>
      </c>
      <c r="L153" s="6" t="inlineStr">
        <is>
          <t>Aprobado</t>
        </is>
      </c>
      <c r="M153" s="5" t="inlineStr">
        <is>
          <t>2026-10-26</t>
        </is>
      </c>
      <c r="N153" s="5" t="inlineStr">
        <is>
          <t>cypress/reports/bolsillos/cucumber-report.html</t>
        </is>
      </c>
      <c r="O153" s="5" t="inlineStr">
        <is>
          <t>-</t>
        </is>
      </c>
    </row>
    <row r="154">
      <c r="A154" s="5" t="inlineStr">
        <is>
          <t>EXTRA</t>
        </is>
      </c>
      <c r="B154" s="5" t="inlineStr">
        <is>
          <t>Depositar dinero</t>
        </is>
      </c>
      <c r="C154" s="5" t="inlineStr">
        <is>
          <t>depositar.feature</t>
        </is>
      </c>
      <c r="D154" s="5" t="inlineStr">
        <is>
          <t>CY-DEP-06</t>
        </is>
      </c>
      <c r="E154" s="5" t="inlineStr">
        <is>
          <t>Rechazar un monto que no es un número ("abc")</t>
        </is>
      </c>
      <c r="F154" s="5" t="inlineStr">
        <is>
          <t>Integración (API)</t>
        </is>
      </c>
      <c r="G154" s="5" t="inlineStr">
        <is>
          <t>Seguridad</t>
        </is>
      </c>
      <c r="H154" s="5" t="inlineStr">
        <is>
          <t>Cypress + Gherkin (cucumber-preprocessor)</t>
        </is>
      </c>
      <c r="I154" s="5" t="inlineStr">
        <is>
          <t>e2e/serenity/features · cypress/bolsillos/features/depositar.feature</t>
        </is>
      </c>
      <c r="J154" s="5" t="inlineStr">
        <is>
          <t>la respuesta HTTP tiene estado 400; el código de error es "INVALID_AMOUNT"; el saldo de su cuenta es 0</t>
        </is>
      </c>
      <c r="K154" s="5" t="inlineStr">
        <is>
          <t>Todos los pasos pasaron</t>
        </is>
      </c>
      <c r="L154" s="6" t="inlineStr">
        <is>
          <t>Aprobado</t>
        </is>
      </c>
      <c r="M154" s="5" t="inlineStr">
        <is>
          <t>2026-10-26</t>
        </is>
      </c>
      <c r="N154" s="5" t="inlineStr">
        <is>
          <t>cypress/reports/bolsillos/cucumber-report.html</t>
        </is>
      </c>
      <c r="O154" s="5" t="inlineStr">
        <is>
          <t>-</t>
        </is>
      </c>
    </row>
    <row r="155">
      <c r="A155" s="5" t="inlineStr">
        <is>
          <t>EXTRA</t>
        </is>
      </c>
      <c r="B155" s="5" t="inlineStr">
        <is>
          <t>Depositar dinero</t>
        </is>
      </c>
      <c r="C155" s="5" t="inlineStr">
        <is>
          <t>depositar.feature</t>
        </is>
      </c>
      <c r="D155" s="5" t="inlineStr">
        <is>
          <t>CY-DEP-07</t>
        </is>
      </c>
      <c r="E155" s="5" t="inlineStr">
        <is>
          <t>Rechazar un monto que no es un número (null)</t>
        </is>
      </c>
      <c r="F155" s="5" t="inlineStr">
        <is>
          <t>Integración (API)</t>
        </is>
      </c>
      <c r="G155" s="5" t="inlineStr">
        <is>
          <t>Seguridad</t>
        </is>
      </c>
      <c r="H155" s="5" t="inlineStr">
        <is>
          <t>Cypress + Gherkin (cucumber-preprocessor)</t>
        </is>
      </c>
      <c r="I155" s="5" t="inlineStr">
        <is>
          <t>e2e/serenity/features · cypress/bolsillos/features/depositar.feature</t>
        </is>
      </c>
      <c r="J155" s="5" t="inlineStr">
        <is>
          <t>la respuesta HTTP tiene estado 400; el código de error es "INVALID_AMOUNT"; el saldo de su cuenta es 0</t>
        </is>
      </c>
      <c r="K155" s="5" t="inlineStr">
        <is>
          <t>Todos los pasos pasaron</t>
        </is>
      </c>
      <c r="L155" s="6" t="inlineStr">
        <is>
          <t>Aprobado</t>
        </is>
      </c>
      <c r="M155" s="5" t="inlineStr">
        <is>
          <t>2026-10-26</t>
        </is>
      </c>
      <c r="N155" s="5" t="inlineStr">
        <is>
          <t>cypress/reports/bolsillos/cucumber-report.html</t>
        </is>
      </c>
      <c r="O155" s="5" t="inlineStr">
        <is>
          <t>-</t>
        </is>
      </c>
    </row>
    <row r="156">
      <c r="A156" s="5" t="inlineStr">
        <is>
          <t>EXTRA</t>
        </is>
      </c>
      <c r="B156" s="5" t="inlineStr">
        <is>
          <t>Depositar dinero</t>
        </is>
      </c>
      <c r="C156" s="5" t="inlineStr">
        <is>
          <t>depositar.feature</t>
        </is>
      </c>
      <c r="D156" s="5" t="inlineStr">
        <is>
          <t>CY-DEP-08</t>
        </is>
      </c>
      <c r="E156" s="5" t="inlineStr">
        <is>
          <t>Rechazar un monto que no es un número ([1000])</t>
        </is>
      </c>
      <c r="F156" s="5" t="inlineStr">
        <is>
          <t>Integración (API)</t>
        </is>
      </c>
      <c r="G156" s="5" t="inlineStr">
        <is>
          <t>Seguridad</t>
        </is>
      </c>
      <c r="H156" s="5" t="inlineStr">
        <is>
          <t>Cypress + Gherkin (cucumber-preprocessor)</t>
        </is>
      </c>
      <c r="I156" s="5" t="inlineStr">
        <is>
          <t>e2e/serenity/features · cypress/bolsillos/features/depositar.feature</t>
        </is>
      </c>
      <c r="J156" s="5" t="inlineStr">
        <is>
          <t>la respuesta HTTP tiene estado 400; el código de error es "INVALID_AMOUNT"; el saldo de su cuenta es 0</t>
        </is>
      </c>
      <c r="K156" s="5" t="inlineStr">
        <is>
          <t>Todos los pasos pasaron</t>
        </is>
      </c>
      <c r="L156" s="6" t="inlineStr">
        <is>
          <t>Aprobado</t>
        </is>
      </c>
      <c r="M156" s="5" t="inlineStr">
        <is>
          <t>2026-10-26</t>
        </is>
      </c>
      <c r="N156" s="5" t="inlineStr">
        <is>
          <t>cypress/reports/bolsillos/cucumber-report.html</t>
        </is>
      </c>
      <c r="O156" s="5" t="inlineStr">
        <is>
          <t>-</t>
        </is>
      </c>
    </row>
    <row r="157">
      <c r="A157" s="5" t="inlineStr">
        <is>
          <t>EXTRA</t>
        </is>
      </c>
      <c r="B157" s="5" t="inlineStr">
        <is>
          <t>Depositar dinero</t>
        </is>
      </c>
      <c r="C157" s="5" t="inlineStr">
        <is>
          <t>depositar.feature</t>
        </is>
      </c>
      <c r="D157" s="5" t="inlineStr">
        <is>
          <t>CY-DEP-09</t>
        </is>
      </c>
      <c r="E157" s="5" t="inlineStr">
        <is>
          <t>No se puede depositar en la cuenta de otro cliente</t>
        </is>
      </c>
      <c r="F157" s="5" t="inlineStr">
        <is>
          <t>Integración (API)</t>
        </is>
      </c>
      <c r="G157" s="5" t="inlineStr">
        <is>
          <t>Seguridad</t>
        </is>
      </c>
      <c r="H157" s="5" t="inlineStr">
        <is>
          <t>Cypress + Gherkin (cucumber-preprocessor)</t>
        </is>
      </c>
      <c r="I157" s="5" t="inlineStr">
        <is>
          <t>e2e/serenity/features · cypress/bolsillos/features/depositar.feature</t>
        </is>
      </c>
      <c r="J157" s="5" t="inlineStr">
        <is>
          <t>la respuesta HTTP tiene estado 403; el código de error es "FORBIDDEN"; el saldo de la cuenta de Diana es 100000</t>
        </is>
      </c>
      <c r="K157" s="5" t="inlineStr">
        <is>
          <t>Todos los pasos pasaron</t>
        </is>
      </c>
      <c r="L157" s="6" t="inlineStr">
        <is>
          <t>Aprobado</t>
        </is>
      </c>
      <c r="M157" s="5" t="inlineStr">
        <is>
          <t>2026-10-26</t>
        </is>
      </c>
      <c r="N157" s="5" t="inlineStr">
        <is>
          <t>cypress/reports/bolsillos/cucumber-report.html</t>
        </is>
      </c>
      <c r="O157" s="5" t="inlineStr">
        <is>
          <t>-</t>
        </is>
      </c>
    </row>
    <row r="158">
      <c r="A158" s="5" t="inlineStr">
        <is>
          <t>EXTRA</t>
        </is>
      </c>
      <c r="B158" s="5" t="inlineStr">
        <is>
          <t>Depositar dinero</t>
        </is>
      </c>
      <c r="C158" s="5" t="inlineStr">
        <is>
          <t>depositar.feature</t>
        </is>
      </c>
      <c r="D158" s="5" t="inlineStr">
        <is>
          <t>CY-DEP-10</t>
        </is>
      </c>
      <c r="E158" s="5" t="inlineStr">
        <is>
          <t>Abonar saldo desde la pantalla de cuentas</t>
        </is>
      </c>
      <c r="F158" s="5" t="inlineStr">
        <is>
          <t>Sistema (E2E UI)</t>
        </is>
      </c>
      <c r="G158" s="5" t="inlineStr">
        <is>
          <t>Funcional</t>
        </is>
      </c>
      <c r="H158" s="5" t="inlineStr">
        <is>
          <t>Cypress + Gherkin (cucumber-preprocessor)</t>
        </is>
      </c>
      <c r="I158" s="5" t="inlineStr">
        <is>
          <t>e2e/serenity/features · cypress/bolsillos/features/depositar.feature</t>
        </is>
      </c>
      <c r="J158" s="5" t="inlineStr">
        <is>
          <t>él ve la notificación "Deposito realizado"; él ve el saldo de su cuenta en 150000; el saldo de su cuenta es 150000</t>
        </is>
      </c>
      <c r="K158" s="5" t="inlineStr">
        <is>
          <t>Todos los pasos pasaron</t>
        </is>
      </c>
      <c r="L158" s="6" t="inlineStr">
        <is>
          <t>Aprobado</t>
        </is>
      </c>
      <c r="M158" s="5" t="inlineStr">
        <is>
          <t>2026-10-26</t>
        </is>
      </c>
      <c r="N158" s="5" t="inlineStr">
        <is>
          <t>cypress/reports/bolsillos/cucumber-report.html</t>
        </is>
      </c>
      <c r="O158" s="5" t="inlineStr">
        <is>
          <t>-</t>
        </is>
      </c>
    </row>
    <row r="159">
      <c r="A159" s="5" t="inlineStr">
        <is>
          <t>EXTRA</t>
        </is>
      </c>
      <c r="B159" s="5" t="inlineStr">
        <is>
          <t>Depositar dinero</t>
        </is>
      </c>
      <c r="C159" s="5" t="inlineStr">
        <is>
          <t>depositar.feature</t>
        </is>
      </c>
      <c r="D159" s="5" t="inlineStr">
        <is>
          <t>CY-DEP-11</t>
        </is>
      </c>
      <c r="E159" s="5" t="inlineStr">
        <is>
          <t>El formulario de abono rechaza un monto en cero</t>
        </is>
      </c>
      <c r="F159" s="5" t="inlineStr">
        <is>
          <t>Sistema (E2E UI)</t>
        </is>
      </c>
      <c r="G159" s="5" t="inlineStr">
        <is>
          <t>Funcional</t>
        </is>
      </c>
      <c r="H159" s="5" t="inlineStr">
        <is>
          <t>Cypress + Gherkin (cucumber-preprocessor)</t>
        </is>
      </c>
      <c r="I159" s="5" t="inlineStr">
        <is>
          <t>e2e/serenity/features · cypress/bolsillos/features/depositar.feature</t>
        </is>
      </c>
      <c r="J159" s="5" t="inlineStr">
        <is>
          <t>él ve el error del formulario "Por favor ingresa un monto válido mayor a cero."; el saldo de su cuenta es 0</t>
        </is>
      </c>
      <c r="K159" s="5" t="inlineStr">
        <is>
          <t>Todos los pasos pasaron</t>
        </is>
      </c>
      <c r="L159" s="6" t="inlineStr">
        <is>
          <t>Aprobado</t>
        </is>
      </c>
      <c r="M159" s="5" t="inlineStr">
        <is>
          <t>2026-10-26</t>
        </is>
      </c>
      <c r="N159" s="5" t="inlineStr">
        <is>
          <t>cypress/reports/bolsillos/cucumber-report.html</t>
        </is>
      </c>
      <c r="O159" s="5" t="inlineStr">
        <is>
          <t>-</t>
        </is>
      </c>
    </row>
    <row r="160">
      <c r="A160" s="5" t="inlineStr">
        <is>
          <t>EXTRA</t>
        </is>
      </c>
      <c r="B160" s="5" t="inlineStr">
        <is>
          <t>Depositar dinero</t>
        </is>
      </c>
      <c r="C160" s="5" t="inlineStr">
        <is>
          <t>Keploy test-set-0</t>
        </is>
      </c>
      <c r="D160" s="5" t="inlineStr">
        <is>
          <t>KP-post-api-v1-accounts-by-id-deposit-1</t>
        </is>
      </c>
      <c r="E160" s="5" t="inlineStr">
        <is>
          <t>post-api-v1-accounts-by-id-deposit-1</t>
        </is>
      </c>
      <c r="F160" s="5" t="inlineStr">
        <is>
          <t>Integración (API, mocks de Supabase)</t>
        </is>
      </c>
      <c r="G160" s="5" t="inlineStr">
        <is>
          <t>Regresión</t>
        </is>
      </c>
      <c r="H160" s="5" t="inlineStr">
        <is>
          <t>Keploy (herramienta IA 3)</t>
        </is>
      </c>
      <c r="I160" s="5" t="inlineStr">
        <is>
          <t>03-keploy/evidence/test-set-0-saneado/tests/post-api-v1-accounts-by-id-deposit-1.yaml</t>
        </is>
      </c>
      <c r="J160" s="5" t="inlineStr">
        <is>
          <t>Respuesta igual a la grabada (ruido declarado: data.token, data.id, Etag)</t>
        </is>
      </c>
      <c r="K160" s="5" t="inlineStr">
        <is>
          <t>Reproducida sin Supabase, igual a la grabada</t>
        </is>
      </c>
      <c r="L160" s="6" t="inlineStr">
        <is>
          <t>Aprobado</t>
        </is>
      </c>
      <c r="M160" s="5" t="inlineStr">
        <is>
          <t>2026-10-26</t>
        </is>
      </c>
      <c r="N160" s="5" t="inlineStr">
        <is>
          <t>03-keploy/evidence/02-replay-con-ruido-50-de-50.txt</t>
        </is>
      </c>
      <c r="O160" s="5" t="inlineStr">
        <is>
          <t>-</t>
        </is>
      </c>
    </row>
    <row r="161">
      <c r="A161" s="5" t="inlineStr">
        <is>
          <t>EXTRA</t>
        </is>
      </c>
      <c r="B161" s="5" t="inlineStr">
        <is>
          <t>Depositar dinero</t>
        </is>
      </c>
      <c r="C161" s="5" t="inlineStr">
        <is>
          <t>Keploy test-set-0</t>
        </is>
      </c>
      <c r="D161" s="5" t="inlineStr">
        <is>
          <t>KP-post-api-v1-accounts-by-id-deposit-2</t>
        </is>
      </c>
      <c r="E161" s="5" t="inlineStr">
        <is>
          <t>post-api-v1-accounts-by-id-deposit-2</t>
        </is>
      </c>
      <c r="F161" s="5" t="inlineStr">
        <is>
          <t>Integración (API, mocks de Supabase)</t>
        </is>
      </c>
      <c r="G161" s="5" t="inlineStr">
        <is>
          <t>Regresión</t>
        </is>
      </c>
      <c r="H161" s="5" t="inlineStr">
        <is>
          <t>Keploy (herramienta IA 3)</t>
        </is>
      </c>
      <c r="I161" s="5" t="inlineStr">
        <is>
          <t>03-keploy/evidence/test-set-0-saneado/tests/post-api-v1-accounts-by-id-deposit-2.yaml</t>
        </is>
      </c>
      <c r="J161" s="5" t="inlineStr">
        <is>
          <t>Respuesta igual a la grabada (ruido declarado: data.token, data.id, Etag)</t>
        </is>
      </c>
      <c r="K161" s="5" t="inlineStr">
        <is>
          <t>Reproducida sin Supabase, igual a la grabada</t>
        </is>
      </c>
      <c r="L161" s="6" t="inlineStr">
        <is>
          <t>Aprobado</t>
        </is>
      </c>
      <c r="M161" s="5" t="inlineStr">
        <is>
          <t>2026-10-26</t>
        </is>
      </c>
      <c r="N161" s="5" t="inlineStr">
        <is>
          <t>03-keploy/evidence/02-replay-con-ruido-50-de-50.txt</t>
        </is>
      </c>
      <c r="O161" s="5" t="inlineStr">
        <is>
          <t>-</t>
        </is>
      </c>
    </row>
    <row r="162">
      <c r="A162" s="5" t="inlineStr">
        <is>
          <t>EXTRA</t>
        </is>
      </c>
      <c r="B162" s="5" t="inlineStr">
        <is>
          <t>Depositar dinero</t>
        </is>
      </c>
      <c r="C162" s="5" t="inlineStr">
        <is>
          <t>Keploy test-set-0</t>
        </is>
      </c>
      <c r="D162" s="5" t="inlineStr">
        <is>
          <t>KP-post-api-v1-accounts-by-id-deposit-3</t>
        </is>
      </c>
      <c r="E162" s="5" t="inlineStr">
        <is>
          <t>post-api-v1-accounts-by-id-deposit-3</t>
        </is>
      </c>
      <c r="F162" s="5" t="inlineStr">
        <is>
          <t>Integración (API, mocks de Supabase)</t>
        </is>
      </c>
      <c r="G162" s="5" t="inlineStr">
        <is>
          <t>Regresión</t>
        </is>
      </c>
      <c r="H162" s="5" t="inlineStr">
        <is>
          <t>Keploy (herramienta IA 3)</t>
        </is>
      </c>
      <c r="I162" s="5" t="inlineStr">
        <is>
          <t>03-keploy/evidence/test-set-0-saneado/tests/post-api-v1-accounts-by-id-deposit-3.yaml</t>
        </is>
      </c>
      <c r="J162" s="5" t="inlineStr">
        <is>
          <t>Respuesta igual a la grabada (ruido declarado: data.token, data.id, Etag)</t>
        </is>
      </c>
      <c r="K162" s="5" t="inlineStr">
        <is>
          <t>Reproducida sin Supabase, igual a la grabada</t>
        </is>
      </c>
      <c r="L162" s="6" t="inlineStr">
        <is>
          <t>Aprobado</t>
        </is>
      </c>
      <c r="M162" s="5" t="inlineStr">
        <is>
          <t>2026-10-26</t>
        </is>
      </c>
      <c r="N162" s="5" t="inlineStr">
        <is>
          <t>03-keploy/evidence/02-replay-con-ruido-50-de-50.txt</t>
        </is>
      </c>
      <c r="O162" s="5" t="inlineStr">
        <is>
          <t>-</t>
        </is>
      </c>
    </row>
    <row r="163">
      <c r="A163" s="5" t="inlineStr">
        <is>
          <t>EXTRA</t>
        </is>
      </c>
      <c r="B163" s="5" t="inlineStr">
        <is>
          <t>Depositar dinero</t>
        </is>
      </c>
      <c r="C163" s="5" t="inlineStr">
        <is>
          <t>Keploy test-set-0</t>
        </is>
      </c>
      <c r="D163" s="5" t="inlineStr">
        <is>
          <t>KP-post-api-v1-accounts-by-id-deposit-4</t>
        </is>
      </c>
      <c r="E163" s="5" t="inlineStr">
        <is>
          <t>post-api-v1-accounts-by-id-deposit-4</t>
        </is>
      </c>
      <c r="F163" s="5" t="inlineStr">
        <is>
          <t>Integración (API, mocks de Supabase)</t>
        </is>
      </c>
      <c r="G163" s="5" t="inlineStr">
        <is>
          <t>Regresión</t>
        </is>
      </c>
      <c r="H163" s="5" t="inlineStr">
        <is>
          <t>Keploy (herramienta IA 3)</t>
        </is>
      </c>
      <c r="I163" s="5" t="inlineStr">
        <is>
          <t>03-keploy/evidence/test-set-0-saneado/tests/post-api-v1-accounts-by-id-deposit-4.yaml</t>
        </is>
      </c>
      <c r="J163" s="5" t="inlineStr">
        <is>
          <t>Respuesta igual a la grabada (ruido declarado: data.token, data.id, Etag)</t>
        </is>
      </c>
      <c r="K163" s="5" t="inlineStr">
        <is>
          <t>Reproducida sin Supabase, igual a la grabada</t>
        </is>
      </c>
      <c r="L163" s="6" t="inlineStr">
        <is>
          <t>Aprobado</t>
        </is>
      </c>
      <c r="M163" s="5" t="inlineStr">
        <is>
          <t>2026-10-26</t>
        </is>
      </c>
      <c r="N163" s="5" t="inlineStr">
        <is>
          <t>03-keploy/evidence/02-replay-con-ruido-50-de-50.txt</t>
        </is>
      </c>
      <c r="O163" s="5" t="inlineStr">
        <is>
          <t>-</t>
        </is>
      </c>
    </row>
    <row r="164">
      <c r="A164" s="5" t="inlineStr">
        <is>
          <t>EXTRA</t>
        </is>
      </c>
      <c r="B164" s="5" t="inlineStr">
        <is>
          <t>Depositar dinero</t>
        </is>
      </c>
      <c r="C164" s="5" t="inlineStr">
        <is>
          <t>Keploy test-set-0</t>
        </is>
      </c>
      <c r="D164" s="5" t="inlineStr">
        <is>
          <t>KP-post-api-v1-accounts-by-id-deposit-5</t>
        </is>
      </c>
      <c r="E164" s="5" t="inlineStr">
        <is>
          <t>post-api-v1-accounts-by-id-deposit-5</t>
        </is>
      </c>
      <c r="F164" s="5" t="inlineStr">
        <is>
          <t>Integración (API, mocks de Supabase)</t>
        </is>
      </c>
      <c r="G164" s="5" t="inlineStr">
        <is>
          <t>Regresión</t>
        </is>
      </c>
      <c r="H164" s="5" t="inlineStr">
        <is>
          <t>Keploy (herramienta IA 3)</t>
        </is>
      </c>
      <c r="I164" s="5" t="inlineStr">
        <is>
          <t>03-keploy/evidence/test-set-0-saneado/tests/post-api-v1-accounts-by-id-deposit-5.yaml</t>
        </is>
      </c>
      <c r="J164" s="5" t="inlineStr">
        <is>
          <t>Respuesta igual a la grabada (ruido declarado: data.token, data.id, Etag)</t>
        </is>
      </c>
      <c r="K164" s="5" t="inlineStr">
        <is>
          <t>Reproducida sin Supabase, igual a la grabada</t>
        </is>
      </c>
      <c r="L164" s="6" t="inlineStr">
        <is>
          <t>Aprobado</t>
        </is>
      </c>
      <c r="M164" s="5" t="inlineStr">
        <is>
          <t>2026-10-26</t>
        </is>
      </c>
      <c r="N164" s="5" t="inlineStr">
        <is>
          <t>03-keploy/evidence/02-replay-con-ruido-50-de-50.txt</t>
        </is>
      </c>
      <c r="O164" s="5" t="inlineStr">
        <is>
          <t>-</t>
        </is>
      </c>
    </row>
    <row r="165">
      <c r="A165" s="5" t="inlineStr">
        <is>
          <t>EXTRA</t>
        </is>
      </c>
      <c r="B165" s="5" t="inlineStr">
        <is>
          <t>Depositar dinero</t>
        </is>
      </c>
      <c r="C165" s="5" t="inlineStr">
        <is>
          <t>Keploy test-set-0</t>
        </is>
      </c>
      <c r="D165" s="5" t="inlineStr">
        <is>
          <t>KP-post-api-v1-accounts-by-id-deposit-6</t>
        </is>
      </c>
      <c r="E165" s="5" t="inlineStr">
        <is>
          <t>post-api-v1-accounts-by-id-deposit-6</t>
        </is>
      </c>
      <c r="F165" s="5" t="inlineStr">
        <is>
          <t>Integración (API, mocks de Supabase)</t>
        </is>
      </c>
      <c r="G165" s="5" t="inlineStr">
        <is>
          <t>Regresión</t>
        </is>
      </c>
      <c r="H165" s="5" t="inlineStr">
        <is>
          <t>Keploy (herramienta IA 3)</t>
        </is>
      </c>
      <c r="I165" s="5" t="inlineStr">
        <is>
          <t>03-keploy/evidence/test-set-0-saneado/tests/post-api-v1-accounts-by-id-deposit-6.yaml</t>
        </is>
      </c>
      <c r="J165" s="5" t="inlineStr">
        <is>
          <t>Respuesta igual a la grabada (ruido declarado: data.token, data.id, Etag)</t>
        </is>
      </c>
      <c r="K165" s="5" t="inlineStr">
        <is>
          <t>Reproducida sin Supabase, igual a la grabada</t>
        </is>
      </c>
      <c r="L165" s="6" t="inlineStr">
        <is>
          <t>Aprobado</t>
        </is>
      </c>
      <c r="M165" s="5" t="inlineStr">
        <is>
          <t>2026-10-26</t>
        </is>
      </c>
      <c r="N165" s="5" t="inlineStr">
        <is>
          <t>03-keploy/evidence/02-replay-con-ruido-50-de-50.txt</t>
        </is>
      </c>
      <c r="O165" s="5" t="inlineStr">
        <is>
          <t>-</t>
        </is>
      </c>
    </row>
    <row r="166">
      <c r="A166" s="5" t="inlineStr">
        <is>
          <t>EXTRA</t>
        </is>
      </c>
      <c r="B166" s="5" t="inlineStr">
        <is>
          <t>Depositar dinero</t>
        </is>
      </c>
      <c r="C166" s="5" t="inlineStr">
        <is>
          <t>Keploy test-set-0</t>
        </is>
      </c>
      <c r="D166" s="5" t="inlineStr">
        <is>
          <t>KP-post-api-v1-accounts-by-id-deposit-7</t>
        </is>
      </c>
      <c r="E166" s="5" t="inlineStr">
        <is>
          <t>post-api-v1-accounts-by-id-deposit-7</t>
        </is>
      </c>
      <c r="F166" s="5" t="inlineStr">
        <is>
          <t>Integración (API, mocks de Supabase)</t>
        </is>
      </c>
      <c r="G166" s="5" t="inlineStr">
        <is>
          <t>Regresión</t>
        </is>
      </c>
      <c r="H166" s="5" t="inlineStr">
        <is>
          <t>Keploy (herramienta IA 3)</t>
        </is>
      </c>
      <c r="I166" s="5" t="inlineStr">
        <is>
          <t>03-keploy/evidence/test-set-0-saneado/tests/post-api-v1-accounts-by-id-deposit-7.yaml</t>
        </is>
      </c>
      <c r="J166" s="5" t="inlineStr">
        <is>
          <t>Respuesta igual a la grabada (ruido declarado: data.token, data.id, Etag)</t>
        </is>
      </c>
      <c r="K166" s="5" t="inlineStr">
        <is>
          <t>Reproducida sin Supabase, igual a la grabada</t>
        </is>
      </c>
      <c r="L166" s="6" t="inlineStr">
        <is>
          <t>Aprobado</t>
        </is>
      </c>
      <c r="M166" s="5" t="inlineStr">
        <is>
          <t>2026-10-26</t>
        </is>
      </c>
      <c r="N166" s="5" t="inlineStr">
        <is>
          <t>03-keploy/evidence/02-replay-con-ruido-50-de-50.txt</t>
        </is>
      </c>
      <c r="O166" s="5" t="inlineStr">
        <is>
          <t>-</t>
        </is>
      </c>
    </row>
    <row r="167">
      <c r="A167" s="5" t="inlineStr">
        <is>
          <t>EXTRA</t>
        </is>
      </c>
      <c r="B167" s="5" t="inlineStr">
        <is>
          <t>Depositar dinero</t>
        </is>
      </c>
      <c r="C167" s="5" t="inlineStr">
        <is>
          <t>Keploy test-set-0</t>
        </is>
      </c>
      <c r="D167" s="5" t="inlineStr">
        <is>
          <t>KP-post-api-v1-accounts-by-id-deposit-8</t>
        </is>
      </c>
      <c r="E167" s="5" t="inlineStr">
        <is>
          <t>post-api-v1-accounts-by-id-deposit-8</t>
        </is>
      </c>
      <c r="F167" s="5" t="inlineStr">
        <is>
          <t>Integración (API, mocks de Supabase)</t>
        </is>
      </c>
      <c r="G167" s="5" t="inlineStr">
        <is>
          <t>Regresión</t>
        </is>
      </c>
      <c r="H167" s="5" t="inlineStr">
        <is>
          <t>Keploy (herramienta IA 3)</t>
        </is>
      </c>
      <c r="I167" s="5" t="inlineStr">
        <is>
          <t>03-keploy/evidence/test-set-0-saneado/tests/post-api-v1-accounts-by-id-deposit-8.yaml</t>
        </is>
      </c>
      <c r="J167" s="5" t="inlineStr">
        <is>
          <t>Respuesta igual a la grabada (ruido declarado: data.token, data.id, Etag)</t>
        </is>
      </c>
      <c r="K167" s="5" t="inlineStr">
        <is>
          <t>Reproducida sin Supabase, igual a la grabada</t>
        </is>
      </c>
      <c r="L167" s="6" t="inlineStr">
        <is>
          <t>Aprobado</t>
        </is>
      </c>
      <c r="M167" s="5" t="inlineStr">
        <is>
          <t>2026-10-26</t>
        </is>
      </c>
      <c r="N167" s="5" t="inlineStr">
        <is>
          <t>03-keploy/evidence/02-replay-con-ruido-50-de-50.txt</t>
        </is>
      </c>
      <c r="O167" s="5" t="inlineStr">
        <is>
          <t>-</t>
        </is>
      </c>
    </row>
    <row r="168">
      <c r="A168" s="5" t="inlineStr">
        <is>
          <t>EXTRA</t>
        </is>
      </c>
      <c r="B168" s="5" t="inlineStr">
        <is>
          <t>Depositar dinero</t>
        </is>
      </c>
      <c r="C168" s="5" t="inlineStr">
        <is>
          <t>Keploy test-set-0</t>
        </is>
      </c>
      <c r="D168" s="5" t="inlineStr">
        <is>
          <t>KP-post-api-v1-accounts-by-id-deposit-9</t>
        </is>
      </c>
      <c r="E168" s="5" t="inlineStr">
        <is>
          <t>post-api-v1-accounts-by-id-deposit-9</t>
        </is>
      </c>
      <c r="F168" s="5" t="inlineStr">
        <is>
          <t>Integración (API, mocks de Supabase)</t>
        </is>
      </c>
      <c r="G168" s="5" t="inlineStr">
        <is>
          <t>Regresión</t>
        </is>
      </c>
      <c r="H168" s="5" t="inlineStr">
        <is>
          <t>Keploy (herramienta IA 3)</t>
        </is>
      </c>
      <c r="I168" s="5" t="inlineStr">
        <is>
          <t>03-keploy/evidence/test-set-0-saneado/tests/post-api-v1-accounts-by-id-deposit-9.yaml</t>
        </is>
      </c>
      <c r="J168" s="5" t="inlineStr">
        <is>
          <t>Respuesta igual a la grabada (ruido declarado: data.token, data.id, Etag)</t>
        </is>
      </c>
      <c r="K168" s="5" t="inlineStr">
        <is>
          <t>Reproducida sin Supabase, igual a la grabada</t>
        </is>
      </c>
      <c r="L168" s="6" t="inlineStr">
        <is>
          <t>Aprobado</t>
        </is>
      </c>
      <c r="M168" s="5" t="inlineStr">
        <is>
          <t>2026-10-26</t>
        </is>
      </c>
      <c r="N168" s="5" t="inlineStr">
        <is>
          <t>03-keploy/evidence/02-replay-con-ruido-50-de-50.txt</t>
        </is>
      </c>
      <c r="O168" s="5" t="inlineStr">
        <is>
          <t>-</t>
        </is>
      </c>
    </row>
    <row r="169">
      <c r="A169" s="5" t="inlineStr">
        <is>
          <t>EXTRA</t>
        </is>
      </c>
      <c r="B169" s="5" t="inlineStr">
        <is>
          <t>Depositar dinero</t>
        </is>
      </c>
      <c r="C169" s="5" t="inlineStr">
        <is>
          <t>ESC042</t>
        </is>
      </c>
      <c r="D169" s="5" t="inlineStr">
        <is>
          <t>TC-142</t>
        </is>
      </c>
      <c r="E169" s="5" t="inlineStr">
        <is>
          <t>Monto válido con descripción</t>
        </is>
      </c>
      <c r="F169" s="5" t="inlineStr">
        <is>
          <t>Sistema</t>
        </is>
      </c>
      <c r="G169" s="5" t="inlineStr">
        <is>
          <t>Funcional</t>
        </is>
      </c>
      <c r="H169" s="5" t="inlineStr">
        <is>
          <t>Manual (caja negra) + Katalon Recorder</t>
        </is>
      </c>
      <c r="I169" s="5" t="inlineStr">
        <is>
          <t>Casos y Escenarios FuBank.xlsx · katalon/casos</t>
        </is>
      </c>
      <c r="J169" s="5" t="inlineStr">
        <is>
          <t>Se deposita un monto válido con descripción; el sistema acredita el monto y aumenta el saldo disponible.</t>
        </is>
      </c>
      <c r="K169" s="5" t="inlineStr">
        <is>
          <t>Según lo esperado</t>
        </is>
      </c>
      <c r="L169" s="6" t="inlineStr">
        <is>
          <t>Aprobado</t>
        </is>
      </c>
      <c r="M169" s="5" t="inlineStr">
        <is>
          <t>2026-10-10</t>
        </is>
      </c>
      <c r="N169" s="5" t="inlineStr">
        <is>
          <t>katalon/evidencias/ · Excel (hoja Casos de Prueba Detallado)</t>
        </is>
      </c>
      <c r="O169" s="5" t="inlineStr">
        <is>
          <t>-</t>
        </is>
      </c>
    </row>
    <row r="170">
      <c r="A170" s="5" t="inlineStr">
        <is>
          <t>EXTRA</t>
        </is>
      </c>
      <c r="B170" s="5" t="inlineStr">
        <is>
          <t>Depositar dinero</t>
        </is>
      </c>
      <c r="C170" s="5" t="inlineStr">
        <is>
          <t>ESC042</t>
        </is>
      </c>
      <c r="D170" s="5" t="inlineStr">
        <is>
          <t>TC-143</t>
        </is>
      </c>
      <c r="E170" s="5" t="inlineStr">
        <is>
          <t>Monto válido sin descripción</t>
        </is>
      </c>
      <c r="F170" s="5" t="inlineStr">
        <is>
          <t>Sistema</t>
        </is>
      </c>
      <c r="G170" s="5" t="inlineStr">
        <is>
          <t>Funcional</t>
        </is>
      </c>
      <c r="H170" s="5" t="inlineStr">
        <is>
          <t>Manual (caja negra) + Katalon Recorder</t>
        </is>
      </c>
      <c r="I170" s="5" t="inlineStr">
        <is>
          <t>Casos y Escenarios FuBank.xlsx · katalon/casos</t>
        </is>
      </c>
      <c r="J170" s="5" t="inlineStr">
        <is>
          <t>Se deposita un monto válido dejando la descripción vacía; el sistema lo permite porque el campo es opcional.</t>
        </is>
      </c>
      <c r="K170" s="5" t="inlineStr">
        <is>
          <t>Según lo esperado</t>
        </is>
      </c>
      <c r="L170" s="6" t="inlineStr">
        <is>
          <t>Aprobado</t>
        </is>
      </c>
      <c r="M170" s="5" t="inlineStr">
        <is>
          <t>2026-10-10</t>
        </is>
      </c>
      <c r="N170" s="5" t="inlineStr">
        <is>
          <t>katalon/evidencias/ · Excel (hoja Casos de Prueba Detallado)</t>
        </is>
      </c>
      <c r="O170" s="5" t="inlineStr">
        <is>
          <t>-</t>
        </is>
      </c>
    </row>
    <row r="171">
      <c r="A171" s="5" t="inlineStr">
        <is>
          <t>EXTRA</t>
        </is>
      </c>
      <c r="B171" s="5" t="inlineStr">
        <is>
          <t>Depositar dinero</t>
        </is>
      </c>
      <c r="C171" s="5" t="inlineStr">
        <is>
          <t>ESC042</t>
        </is>
      </c>
      <c r="D171" s="5" t="inlineStr">
        <is>
          <t>TC-144</t>
        </is>
      </c>
      <c r="E171" s="5" t="inlineStr">
        <is>
          <t>Monto mínimo válido (límite)</t>
        </is>
      </c>
      <c r="F171" s="5" t="inlineStr">
        <is>
          <t>Sistema</t>
        </is>
      </c>
      <c r="G171" s="5" t="inlineStr">
        <is>
          <t>Funcional</t>
        </is>
      </c>
      <c r="H171" s="5" t="inlineStr">
        <is>
          <t>Manual (caja negra) + Katalon Recorder</t>
        </is>
      </c>
      <c r="I171" s="5" t="inlineStr">
        <is>
          <t>Casos y Escenarios FuBank.xlsx · katalon/casos</t>
        </is>
      </c>
      <c r="J171" s="5" t="inlineStr">
        <is>
          <t>Se deposita el monto mínimo válido (1); el sistema lo acepta.</t>
        </is>
      </c>
      <c r="K171" s="5" t="inlineStr">
        <is>
          <t>Según lo esperado</t>
        </is>
      </c>
      <c r="L171" s="6" t="inlineStr">
        <is>
          <t>Aprobado</t>
        </is>
      </c>
      <c r="M171" s="5" t="inlineStr">
        <is>
          <t>2026-10-10</t>
        </is>
      </c>
      <c r="N171" s="5" t="inlineStr">
        <is>
          <t>katalon/evidencias/ · Excel (hoja Casos de Prueba Detallado)</t>
        </is>
      </c>
      <c r="O171" s="5" t="inlineStr">
        <is>
          <t>-</t>
        </is>
      </c>
    </row>
    <row r="172">
      <c r="A172" s="5" t="inlineStr">
        <is>
          <t>EXTRA</t>
        </is>
      </c>
      <c r="B172" s="5" t="inlineStr">
        <is>
          <t>Depositar dinero</t>
        </is>
      </c>
      <c r="C172" s="5" t="inlineStr">
        <is>
          <t>ESC042</t>
        </is>
      </c>
      <c r="D172" s="5" t="inlineStr">
        <is>
          <t>TC-145</t>
        </is>
      </c>
      <c r="E172" s="5" t="inlineStr">
        <is>
          <t>Depósitos sucesivos se acumulan</t>
        </is>
      </c>
      <c r="F172" s="5" t="inlineStr">
        <is>
          <t>Sistema</t>
        </is>
      </c>
      <c r="G172" s="5" t="inlineStr">
        <is>
          <t>Funcional</t>
        </is>
      </c>
      <c r="H172" s="5" t="inlineStr">
        <is>
          <t>Manual (caja negra) + Katalon Recorder</t>
        </is>
      </c>
      <c r="I172" s="5" t="inlineStr">
        <is>
          <t>Casos y Escenarios FuBank.xlsx · katalon/casos</t>
        </is>
      </c>
      <c r="J172" s="5" t="inlineStr">
        <is>
          <t>Se realizan dos depósitos seguidos; el sistema suma ambos montos al saldo.</t>
        </is>
      </c>
      <c r="K172" s="5" t="inlineStr">
        <is>
          <t>Según lo esperado</t>
        </is>
      </c>
      <c r="L172" s="6" t="inlineStr">
        <is>
          <t>Aprobado</t>
        </is>
      </c>
      <c r="M172" s="5" t="inlineStr">
        <is>
          <t>2026-10-10</t>
        </is>
      </c>
      <c r="N172" s="5" t="inlineStr">
        <is>
          <t>katalon/evidencias/ · Excel (hoja Casos de Prueba Detallado)</t>
        </is>
      </c>
      <c r="O172" s="5" t="inlineStr">
        <is>
          <t>-</t>
        </is>
      </c>
    </row>
    <row r="173">
      <c r="A173" s="5" t="inlineStr">
        <is>
          <t>EXTRA</t>
        </is>
      </c>
      <c r="B173" s="5" t="inlineStr">
        <is>
          <t>Depositar dinero</t>
        </is>
      </c>
      <c r="C173" s="5" t="inlineStr">
        <is>
          <t>ESC042</t>
        </is>
      </c>
      <c r="D173" s="5" t="inlineStr">
        <is>
          <t>TC-146</t>
        </is>
      </c>
      <c r="E173" s="5" t="inlineStr">
        <is>
          <t>Generación de notificación</t>
        </is>
      </c>
      <c r="F173" s="5" t="inlineStr">
        <is>
          <t>Sistema</t>
        </is>
      </c>
      <c r="G173" s="5" t="inlineStr">
        <is>
          <t>Funcional</t>
        </is>
      </c>
      <c r="H173" s="5" t="inlineStr">
        <is>
          <t>Manual (caja negra) + Katalon Recorder</t>
        </is>
      </c>
      <c r="I173" s="5" t="inlineStr">
        <is>
          <t>Casos y Escenarios FuBank.xlsx · katalon/casos</t>
        </is>
      </c>
      <c r="J173" s="5" t="inlineStr">
        <is>
          <t>Al depositar, el sistema registra la notificación 'Depósito realizado'.</t>
        </is>
      </c>
      <c r="K173" s="5" t="inlineStr">
        <is>
          <t>Según lo esperado</t>
        </is>
      </c>
      <c r="L173" s="6" t="inlineStr">
        <is>
          <t>Aprobado</t>
        </is>
      </c>
      <c r="M173" s="5" t="inlineStr">
        <is>
          <t>2026-10-10</t>
        </is>
      </c>
      <c r="N173" s="5" t="inlineStr">
        <is>
          <t>katalon/evidencias/ · Excel (hoja Casos de Prueba Detallado)</t>
        </is>
      </c>
      <c r="O173" s="5" t="inlineStr">
        <is>
          <t>-</t>
        </is>
      </c>
    </row>
    <row r="174">
      <c r="A174" s="5" t="inlineStr">
        <is>
          <t>EXTRA</t>
        </is>
      </c>
      <c r="B174" s="5" t="inlineStr">
        <is>
          <t>Depositar dinero</t>
        </is>
      </c>
      <c r="C174" s="5" t="inlineStr">
        <is>
          <t>ESC042</t>
        </is>
      </c>
      <c r="D174" s="5" t="inlineStr">
        <is>
          <t>TC-147</t>
        </is>
      </c>
      <c r="E174" s="5" t="inlineStr">
        <is>
          <t>Saldo depositado disponible en Bolsillos</t>
        </is>
      </c>
      <c r="F174" s="5" t="inlineStr">
        <is>
          <t>Sistema</t>
        </is>
      </c>
      <c r="G174" s="5" t="inlineStr">
        <is>
          <t>Funcional</t>
        </is>
      </c>
      <c r="H174" s="5" t="inlineStr">
        <is>
          <t>Manual (caja negra) + Katalon Recorder</t>
        </is>
      </c>
      <c r="I174" s="5" t="inlineStr">
        <is>
          <t>Casos y Escenarios FuBank.xlsx · katalon/casos</t>
        </is>
      </c>
      <c r="J174" s="5" t="inlineStr">
        <is>
          <t>El dinero depositado queda disponible en el módulo de Bolsillos y se puede reservar en un bolsillo nuevo.</t>
        </is>
      </c>
      <c r="K174" s="5" t="inlineStr">
        <is>
          <t>Según lo esperado</t>
        </is>
      </c>
      <c r="L174" s="6" t="inlineStr">
        <is>
          <t>Aprobado</t>
        </is>
      </c>
      <c r="M174" s="5" t="inlineStr">
        <is>
          <t>2026-10-10</t>
        </is>
      </c>
      <c r="N174" s="5" t="inlineStr">
        <is>
          <t>katalon/evidencias/ · Excel (hoja Casos de Prueba Detallado)</t>
        </is>
      </c>
      <c r="O174" s="5" t="inlineStr">
        <is>
          <t>-</t>
        </is>
      </c>
    </row>
    <row r="175">
      <c r="A175" s="5" t="inlineStr">
        <is>
          <t>EXTRA</t>
        </is>
      </c>
      <c r="B175" s="5" t="inlineStr">
        <is>
          <t>Depositar dinero</t>
        </is>
      </c>
      <c r="C175" s="5" t="inlineStr">
        <is>
          <t>ESC043</t>
        </is>
      </c>
      <c r="D175" s="5" t="inlineStr">
        <is>
          <t>TC-148</t>
        </is>
      </c>
      <c r="E175" s="5" t="inlineStr">
        <is>
          <t>Monto igual a cero (límite)</t>
        </is>
      </c>
      <c r="F175" s="5" t="inlineStr">
        <is>
          <t>Sistema</t>
        </is>
      </c>
      <c r="G175" s="5" t="inlineStr">
        <is>
          <t>Funcional</t>
        </is>
      </c>
      <c r="H175" s="5" t="inlineStr">
        <is>
          <t>Manual (caja negra) + Katalon Recorder</t>
        </is>
      </c>
      <c r="I175" s="5" t="inlineStr">
        <is>
          <t>Casos y Escenarios FuBank.xlsx · katalon/casos</t>
        </is>
      </c>
      <c r="J175" s="5" t="inlineStr">
        <is>
          <t>Se intenta depositar un monto de 0; el sistema lo rechaza.</t>
        </is>
      </c>
      <c r="K175" s="5" t="inlineStr">
        <is>
          <t>Según lo esperado</t>
        </is>
      </c>
      <c r="L175" s="6" t="inlineStr">
        <is>
          <t>Aprobado</t>
        </is>
      </c>
      <c r="M175" s="5" t="inlineStr">
        <is>
          <t>2026-10-10</t>
        </is>
      </c>
      <c r="N175" s="5" t="inlineStr">
        <is>
          <t>katalon/evidencias/ · Excel (hoja Casos de Prueba Detallado)</t>
        </is>
      </c>
      <c r="O175" s="5" t="inlineStr">
        <is>
          <t>-</t>
        </is>
      </c>
    </row>
    <row r="176">
      <c r="A176" s="5" t="inlineStr">
        <is>
          <t>EXTRA</t>
        </is>
      </c>
      <c r="B176" s="5" t="inlineStr">
        <is>
          <t>Depositar dinero</t>
        </is>
      </c>
      <c r="C176" s="5" t="inlineStr">
        <is>
          <t>ESC043</t>
        </is>
      </c>
      <c r="D176" s="5" t="inlineStr">
        <is>
          <t>TC-149</t>
        </is>
      </c>
      <c r="E176" s="5" t="inlineStr">
        <is>
          <t>Monto negativo</t>
        </is>
      </c>
      <c r="F176" s="5" t="inlineStr">
        <is>
          <t>Sistema</t>
        </is>
      </c>
      <c r="G176" s="5" t="inlineStr">
        <is>
          <t>Funcional</t>
        </is>
      </c>
      <c r="H176" s="5" t="inlineStr">
        <is>
          <t>Manual (caja negra) + Katalon Recorder</t>
        </is>
      </c>
      <c r="I176" s="5" t="inlineStr">
        <is>
          <t>Casos y Escenarios FuBank.xlsx · katalon/casos</t>
        </is>
      </c>
      <c r="J176" s="5" t="inlineStr">
        <is>
          <t>Se intenta depositar un monto negativo; el sistema lo rechaza.</t>
        </is>
      </c>
      <c r="K176" s="5" t="inlineStr">
        <is>
          <t>Según lo esperado</t>
        </is>
      </c>
      <c r="L176" s="6" t="inlineStr">
        <is>
          <t>Aprobado</t>
        </is>
      </c>
      <c r="M176" s="5" t="inlineStr">
        <is>
          <t>2026-10-10</t>
        </is>
      </c>
      <c r="N176" s="5" t="inlineStr">
        <is>
          <t>katalon/evidencias/ · Excel (hoja Casos de Prueba Detallado)</t>
        </is>
      </c>
      <c r="O176" s="5" t="inlineStr">
        <is>
          <t>-</t>
        </is>
      </c>
    </row>
    <row r="177">
      <c r="A177" s="5" t="inlineStr">
        <is>
          <t>EXTRA</t>
        </is>
      </c>
      <c r="B177" s="5" t="inlineStr">
        <is>
          <t>Depositar dinero</t>
        </is>
      </c>
      <c r="C177" s="5" t="inlineStr">
        <is>
          <t>ESC043</t>
        </is>
      </c>
      <c r="D177" s="5" t="inlineStr">
        <is>
          <t>TC-150</t>
        </is>
      </c>
      <c r="E177" s="5" t="inlineStr">
        <is>
          <t>Monto vacío</t>
        </is>
      </c>
      <c r="F177" s="5" t="inlineStr">
        <is>
          <t>Sistema</t>
        </is>
      </c>
      <c r="G177" s="5" t="inlineStr">
        <is>
          <t>Funcional</t>
        </is>
      </c>
      <c r="H177" s="5" t="inlineStr">
        <is>
          <t>Manual (caja negra) + Katalon Recorder</t>
        </is>
      </c>
      <c r="I177" s="5" t="inlineStr">
        <is>
          <t>Casos y Escenarios FuBank.xlsx · katalon/casos</t>
        </is>
      </c>
      <c r="J177" s="5" t="inlineStr">
        <is>
          <t>Se intenta depositar sin escribir el monto; el formulario no se envía.</t>
        </is>
      </c>
      <c r="K177" s="5" t="inlineStr">
        <is>
          <t>Según lo esperado</t>
        </is>
      </c>
      <c r="L177" s="6" t="inlineStr">
        <is>
          <t>Aprobado</t>
        </is>
      </c>
      <c r="M177" s="5" t="inlineStr">
        <is>
          <t>2026-10-10</t>
        </is>
      </c>
      <c r="N177" s="5" t="inlineStr">
        <is>
          <t>katalon/evidencias/ · Excel (hoja Casos de Prueba Detallado)</t>
        </is>
      </c>
      <c r="O177" s="5" t="inlineStr">
        <is>
          <t>-</t>
        </is>
      </c>
    </row>
    <row r="178">
      <c r="A178" s="5" t="inlineStr">
        <is>
          <t>EXTRA</t>
        </is>
      </c>
      <c r="B178" s="5" t="inlineStr">
        <is>
          <t>Depositar dinero</t>
        </is>
      </c>
      <c r="C178" s="5" t="inlineStr">
        <is>
          <t>ESC044</t>
        </is>
      </c>
      <c r="D178" s="5" t="inlineStr">
        <is>
          <t>TC-151</t>
        </is>
      </c>
      <c r="E178" s="5" t="inlineStr">
        <is>
          <t>Cancelar con el botón 'Cancelar'</t>
        </is>
      </c>
      <c r="F178" s="5" t="inlineStr">
        <is>
          <t>Sistema</t>
        </is>
      </c>
      <c r="G178" s="5" t="inlineStr">
        <is>
          <t>Funcional</t>
        </is>
      </c>
      <c r="H178" s="5" t="inlineStr">
        <is>
          <t>Manual (caja negra) + Katalon Recorder</t>
        </is>
      </c>
      <c r="I178" s="5" t="inlineStr">
        <is>
          <t>Casos y Escenarios FuBank.xlsx · katalon/casos</t>
        </is>
      </c>
      <c r="J178" s="5" t="inlineStr">
        <is>
          <t>Se escribe un monto y se presiona 'Cancelar'; el sistema no realiza el depósito.</t>
        </is>
      </c>
      <c r="K178" s="5" t="inlineStr">
        <is>
          <t>Según lo esperado</t>
        </is>
      </c>
      <c r="L178" s="6" t="inlineStr">
        <is>
          <t>Aprobado</t>
        </is>
      </c>
      <c r="M178" s="5" t="inlineStr">
        <is>
          <t>2026-10-10</t>
        </is>
      </c>
      <c r="N178" s="5" t="inlineStr">
        <is>
          <t>katalon/evidencias/ · Excel (hoja Casos de Prueba Detallado)</t>
        </is>
      </c>
      <c r="O178" s="5" t="inlineStr">
        <is>
          <t>-</t>
        </is>
      </c>
    </row>
    <row r="179">
      <c r="A179" s="5" t="inlineStr">
        <is>
          <t>EXTRA</t>
        </is>
      </c>
      <c r="B179" s="5" t="inlineStr">
        <is>
          <t>Depositar dinero</t>
        </is>
      </c>
      <c r="C179" s="5" t="inlineStr">
        <is>
          <t>ESC044</t>
        </is>
      </c>
      <c r="D179" s="5" t="inlineStr">
        <is>
          <t>TC-152</t>
        </is>
      </c>
      <c r="E179" s="5" t="inlineStr">
        <is>
          <t>Cerrar la ventana con la X</t>
        </is>
      </c>
      <c r="F179" s="5" t="inlineStr">
        <is>
          <t>Sistema</t>
        </is>
      </c>
      <c r="G179" s="5" t="inlineStr">
        <is>
          <t>Usabilidad</t>
        </is>
      </c>
      <c r="H179" s="5" t="inlineStr">
        <is>
          <t>Manual (caja negra) + Katalon Recorder</t>
        </is>
      </c>
      <c r="I179" s="5" t="inlineStr">
        <is>
          <t>Casos y Escenarios FuBank.xlsx · katalon/casos</t>
        </is>
      </c>
      <c r="J179" s="5" t="inlineStr">
        <is>
          <t>Se escribe un monto y se cierra la ventana con la X; el sistema no realiza el depósito.</t>
        </is>
      </c>
      <c r="K179" s="5" t="inlineStr">
        <is>
          <t>Según lo esperado</t>
        </is>
      </c>
      <c r="L179" s="6" t="inlineStr">
        <is>
          <t>Aprobado</t>
        </is>
      </c>
      <c r="M179" s="5" t="inlineStr">
        <is>
          <t>2026-10-10</t>
        </is>
      </c>
      <c r="N179" s="5" t="inlineStr">
        <is>
          <t>katalon/evidencias/ · Excel (hoja Casos de Prueba Detallado)</t>
        </is>
      </c>
      <c r="O179" s="5" t="inlineStr">
        <is>
          <t>-</t>
        </is>
      </c>
    </row>
    <row r="180">
      <c r="A180" s="5" t="inlineStr">
        <is>
          <t>EXTRA</t>
        </is>
      </c>
      <c r="B180" s="5" t="inlineStr">
        <is>
          <t>Depositar dinero</t>
        </is>
      </c>
      <c r="C180" s="5" t="inlineStr">
        <is>
          <t>06 Depositar dinero</t>
        </is>
      </c>
      <c r="D180" s="5" t="inlineStr">
        <is>
          <t>PM-DE-01</t>
        </is>
      </c>
      <c r="E180" s="5" t="inlineStr">
        <is>
          <t>Depositar 250.000 con descripción</t>
        </is>
      </c>
      <c r="F180" s="5" t="inlineStr">
        <is>
          <t>Integración (API)</t>
        </is>
      </c>
      <c r="G180" s="5" t="inlineStr">
        <is>
          <t>Funcional</t>
        </is>
      </c>
      <c r="H180" s="5" t="inlineStr">
        <is>
          <t>Postman + Newman (herramienta IA 2)</t>
        </is>
      </c>
      <c r="I180" s="5" t="inlineStr">
        <is>
          <t>02-postman-postbot/FuBanking-Bolsillos.postman_collection.json</t>
        </is>
      </c>
      <c r="J180" s="5" t="inlineStr">
        <is>
          <t>200 y saldo 630.000.</t>
        </is>
      </c>
      <c r="K180" s="5" t="inlineStr">
        <is>
          <t>4/4 aserciones correctas</t>
        </is>
      </c>
      <c r="L180" s="6" t="inlineStr">
        <is>
          <t>Aprobado</t>
        </is>
      </c>
      <c r="M180" s="5" t="inlineStr">
        <is>
          <t>2026-10-26</t>
        </is>
      </c>
      <c r="N180" s="5" t="inlineStr">
        <is>
          <t>02-postman-postbot/evidence/newman-report.html</t>
        </is>
      </c>
      <c r="O180" s="5" t="inlineStr">
        <is>
          <t>-</t>
        </is>
      </c>
    </row>
    <row r="181">
      <c r="A181" s="5" t="inlineStr">
        <is>
          <t>EXTRA</t>
        </is>
      </c>
      <c r="B181" s="5" t="inlineStr">
        <is>
          <t>Depositar dinero</t>
        </is>
      </c>
      <c r="C181" s="5" t="inlineStr">
        <is>
          <t>06 Depositar dinero</t>
        </is>
      </c>
      <c r="D181" s="5" t="inlineStr">
        <is>
          <t>PM-DE-02</t>
        </is>
      </c>
      <c r="E181" s="5" t="inlineStr">
        <is>
          <t>Rechazar monto 0</t>
        </is>
      </c>
      <c r="F181" s="5" t="inlineStr">
        <is>
          <t>Integración (API)</t>
        </is>
      </c>
      <c r="G181" s="5" t="inlineStr">
        <is>
          <t>Funcional</t>
        </is>
      </c>
      <c r="H181" s="5" t="inlineStr">
        <is>
          <t>Postman + Newman (herramienta IA 2)</t>
        </is>
      </c>
      <c r="I181" s="5" t="inlineStr">
        <is>
          <t>02-postman-postbot/FuBanking-Bolsillos.postman_collection.json</t>
        </is>
      </c>
      <c r="J181" s="5" t="inlineStr">
        <is>
          <t>400 INVALID_AMOUNT.</t>
        </is>
      </c>
      <c r="K181" s="5" t="inlineStr">
        <is>
          <t>5/5 aserciones correctas</t>
        </is>
      </c>
      <c r="L181" s="6" t="inlineStr">
        <is>
          <t>Aprobado</t>
        </is>
      </c>
      <c r="M181" s="5" t="inlineStr">
        <is>
          <t>2026-10-26</t>
        </is>
      </c>
      <c r="N181" s="5" t="inlineStr">
        <is>
          <t>02-postman-postbot/evidence/newman-report.html</t>
        </is>
      </c>
      <c r="O181" s="5" t="inlineStr">
        <is>
          <t>-</t>
        </is>
      </c>
    </row>
    <row r="182">
      <c r="A182" s="5" t="inlineStr">
        <is>
          <t>EXTRA</t>
        </is>
      </c>
      <c r="B182" s="5" t="inlineStr">
        <is>
          <t>Depositar dinero</t>
        </is>
      </c>
      <c r="C182" s="5" t="inlineStr">
        <is>
          <t>06 Depositar dinero</t>
        </is>
      </c>
      <c r="D182" s="5" t="inlineStr">
        <is>
          <t>PM-DE-03</t>
        </is>
      </c>
      <c r="E182" s="5" t="inlineStr">
        <is>
          <t>Rechazar monto negativo</t>
        </is>
      </c>
      <c r="F182" s="5" t="inlineStr">
        <is>
          <t>Integración (API)</t>
        </is>
      </c>
      <c r="G182" s="5" t="inlineStr">
        <is>
          <t>Funcional</t>
        </is>
      </c>
      <c r="H182" s="5" t="inlineStr">
        <is>
          <t>Postman + Newman (herramienta IA 2)</t>
        </is>
      </c>
      <c r="I182" s="5" t="inlineStr">
        <is>
          <t>02-postman-postbot/FuBanking-Bolsillos.postman_collection.json</t>
        </is>
      </c>
      <c r="J182" s="5" t="inlineStr">
        <is>
          <t>400 INVALID_AMOUNT.</t>
        </is>
      </c>
      <c r="K182" s="5" t="inlineStr">
        <is>
          <t>4/4 aserciones correctas</t>
        </is>
      </c>
      <c r="L182" s="6" t="inlineStr">
        <is>
          <t>Aprobado</t>
        </is>
      </c>
      <c r="M182" s="5" t="inlineStr">
        <is>
          <t>2026-10-26</t>
        </is>
      </c>
      <c r="N182" s="5" t="inlineStr">
        <is>
          <t>02-postman-postbot/evidence/newman-report.html</t>
        </is>
      </c>
      <c r="O182" s="5" t="inlineStr">
        <is>
          <t>-</t>
        </is>
      </c>
    </row>
    <row r="183">
      <c r="A183" s="5" t="inlineStr">
        <is>
          <t>EXTRA</t>
        </is>
      </c>
      <c r="B183" s="5" t="inlineStr">
        <is>
          <t>Depositar dinero</t>
        </is>
      </c>
      <c r="C183" s="5" t="inlineStr">
        <is>
          <t>06 Depositar dinero</t>
        </is>
      </c>
      <c r="D183" s="5" t="inlineStr">
        <is>
          <t>PM-DE-04</t>
        </is>
      </c>
      <c r="E183" s="5" t="inlineStr">
        <is>
          <t>Rechazar texto como monto</t>
        </is>
      </c>
      <c r="F183" s="5" t="inlineStr">
        <is>
          <t>Integración (API)</t>
        </is>
      </c>
      <c r="G183" s="5" t="inlineStr">
        <is>
          <t>Seguridad</t>
        </is>
      </c>
      <c r="H183" s="5" t="inlineStr">
        <is>
          <t>Postman + Newman (herramienta IA 2)</t>
        </is>
      </c>
      <c r="I183" s="5" t="inlineStr">
        <is>
          <t>02-postman-postbot/FuBanking-Bolsillos.postman_collection.json</t>
        </is>
      </c>
      <c r="J183" s="5" t="inlineStr">
        <is>
          <t>400 INVALID_AMOUNT.</t>
        </is>
      </c>
      <c r="K183" s="5" t="inlineStr">
        <is>
          <t>4/4 aserciones correctas</t>
        </is>
      </c>
      <c r="L183" s="6" t="inlineStr">
        <is>
          <t>Aprobado</t>
        </is>
      </c>
      <c r="M183" s="5" t="inlineStr">
        <is>
          <t>2026-10-26</t>
        </is>
      </c>
      <c r="N183" s="5" t="inlineStr">
        <is>
          <t>02-postman-postbot/evidence/newman-report.html</t>
        </is>
      </c>
      <c r="O183" s="5" t="inlineStr">
        <is>
          <t>-</t>
        </is>
      </c>
    </row>
    <row r="184">
      <c r="A184" s="5" t="inlineStr">
        <is>
          <t>EXTRA</t>
        </is>
      </c>
      <c r="B184" s="5" t="inlineStr">
        <is>
          <t>Depositar dinero</t>
        </is>
      </c>
      <c r="C184" s="5" t="inlineStr">
        <is>
          <t>06 Depositar dinero</t>
        </is>
      </c>
      <c r="D184" s="5" t="inlineStr">
        <is>
          <t>PM-DE-05</t>
        </is>
      </c>
      <c r="E184" s="5" t="inlineStr">
        <is>
          <t>Rechazar booleano como monto</t>
        </is>
      </c>
      <c r="F184" s="5" t="inlineStr">
        <is>
          <t>Integración (API)</t>
        </is>
      </c>
      <c r="G184" s="5" t="inlineStr">
        <is>
          <t>Seguridad</t>
        </is>
      </c>
      <c r="H184" s="5" t="inlineStr">
        <is>
          <t>Postman + Newman (herramienta IA 2)</t>
        </is>
      </c>
      <c r="I184" s="5" t="inlineStr">
        <is>
          <t>02-postman-postbot/FuBanking-Bolsillos.postman_collection.json</t>
        </is>
      </c>
      <c r="J184" s="5" t="inlineStr">
        <is>
          <t>400 INVALID_AMOUNT.</t>
        </is>
      </c>
      <c r="K184" s="5" t="inlineStr">
        <is>
          <t>4/4 aserciones correctas</t>
        </is>
      </c>
      <c r="L184" s="6" t="inlineStr">
        <is>
          <t>Aprobado</t>
        </is>
      </c>
      <c r="M184" s="5" t="inlineStr">
        <is>
          <t>2026-10-26</t>
        </is>
      </c>
      <c r="N184" s="5" t="inlineStr">
        <is>
          <t>02-postman-postbot/evidence/newman-report.html</t>
        </is>
      </c>
      <c r="O184" s="5" t="inlineStr">
        <is>
          <t>-</t>
        </is>
      </c>
    </row>
    <row r="185">
      <c r="A185" s="5" t="inlineStr">
        <is>
          <t>EXTRA</t>
        </is>
      </c>
      <c r="B185" s="5" t="inlineStr">
        <is>
          <t>Depositar dinero</t>
        </is>
      </c>
      <c r="C185" s="5" t="inlineStr">
        <is>
          <t>06 Depositar dinero</t>
        </is>
      </c>
      <c r="D185" s="5" t="inlineStr">
        <is>
          <t>PM-DE-06</t>
        </is>
      </c>
      <c r="E185" s="5" t="inlineStr">
        <is>
          <t>Rechazar null como monto</t>
        </is>
      </c>
      <c r="F185" s="5" t="inlineStr">
        <is>
          <t>Integración (API)</t>
        </is>
      </c>
      <c r="G185" s="5" t="inlineStr">
        <is>
          <t>Seguridad</t>
        </is>
      </c>
      <c r="H185" s="5" t="inlineStr">
        <is>
          <t>Postman + Newman (herramienta IA 2)</t>
        </is>
      </c>
      <c r="I185" s="5" t="inlineStr">
        <is>
          <t>02-postman-postbot/FuBanking-Bolsillos.postman_collection.json</t>
        </is>
      </c>
      <c r="J185" s="5" t="inlineStr">
        <is>
          <t>400 INVALID_AMOUNT y el saldo no cambia.</t>
        </is>
      </c>
      <c r="K185" s="5" t="inlineStr">
        <is>
          <t>5/5 aserciones correctas</t>
        </is>
      </c>
      <c r="L185" s="6" t="inlineStr">
        <is>
          <t>Aprobado</t>
        </is>
      </c>
      <c r="M185" s="5" t="inlineStr">
        <is>
          <t>2026-10-26</t>
        </is>
      </c>
      <c r="N185" s="5" t="inlineStr">
        <is>
          <t>02-postman-postbot/evidence/newman-report.html</t>
        </is>
      </c>
      <c r="O185" s="5" t="inlineStr">
        <is>
          <t>-</t>
        </is>
      </c>
    </row>
    <row r="186">
      <c r="A186" s="5" t="inlineStr">
        <is>
          <t>EXTRA</t>
        </is>
      </c>
      <c r="B186" s="5" t="inlineStr">
        <is>
          <t>Depositar dinero</t>
        </is>
      </c>
      <c r="C186" s="5" t="inlineStr">
        <is>
          <t>06 Depositar dinero</t>
        </is>
      </c>
      <c r="D186" s="5" t="inlineStr">
        <is>
          <t>PM-DE-07</t>
        </is>
      </c>
      <c r="E186" s="5" t="inlineStr">
        <is>
          <t>No depositar en la cuenta de otro cliente</t>
        </is>
      </c>
      <c r="F186" s="5" t="inlineStr">
        <is>
          <t>Integración (API)</t>
        </is>
      </c>
      <c r="G186" s="5" t="inlineStr">
        <is>
          <t>Seguridad</t>
        </is>
      </c>
      <c r="H186" s="5" t="inlineStr">
        <is>
          <t>Postman + Newman (herramienta IA 2)</t>
        </is>
      </c>
      <c r="I186" s="5" t="inlineStr">
        <is>
          <t>02-postman-postbot/FuBanking-Bolsillos.postman_collection.json</t>
        </is>
      </c>
      <c r="J186" s="5" t="inlineStr">
        <is>
          <t>403 FORBIDDEN y la cuenta de Bruno sigue en 50.000.</t>
        </is>
      </c>
      <c r="K186" s="5" t="inlineStr">
        <is>
          <t>5/5 aserciones correctas</t>
        </is>
      </c>
      <c r="L186" s="6" t="inlineStr">
        <is>
          <t>Aprobado</t>
        </is>
      </c>
      <c r="M186" s="5" t="inlineStr">
        <is>
          <t>2026-10-26</t>
        </is>
      </c>
      <c r="N186" s="5" t="inlineStr">
        <is>
          <t>02-postman-postbot/evidence/newman-report.html</t>
        </is>
      </c>
      <c r="O186" s="5" t="inlineStr">
        <is>
          <t>-</t>
        </is>
      </c>
    </row>
    <row r="187">
      <c r="A187" s="5" t="inlineStr">
        <is>
          <t>EXTRA</t>
        </is>
      </c>
      <c r="B187" s="5" t="inlineStr">
        <is>
          <t>Depositar dinero</t>
        </is>
      </c>
      <c r="C187" s="5" t="inlineStr">
        <is>
          <t>abonar_y_ahorrar.feature</t>
        </is>
      </c>
      <c r="D187" s="5" t="inlineStr">
        <is>
          <t>SJ-ABO-01</t>
        </is>
      </c>
      <c r="E187" s="5" t="inlineStr">
        <is>
          <t>Abonar a la cuenta y apartar una parte en un bolsillo nuevo</t>
        </is>
      </c>
      <c r="F187" s="5" t="inlineStr">
        <is>
          <t>Sistema (E2E UI)</t>
        </is>
      </c>
      <c r="G187" s="5" t="inlineStr">
        <is>
          <t>Funcional</t>
        </is>
      </c>
      <c r="H187" s="5" t="inlineStr">
        <is>
          <t>Serenity/JS Screenplay + Gherkin</t>
        </is>
      </c>
      <c r="I187" s="5" t="inlineStr">
        <is>
          <t>e2e/serenity/features/abonar_y_ahorrar.feature</t>
        </is>
      </c>
      <c r="J187" s="5" t="inlineStr">
        <is>
          <t>él crea el bolsillo "Emergencias" con 50000; él ve el bolsillo "Emergencias" con 50000; el saldo de su cuenta es 150000</t>
        </is>
      </c>
      <c r="K187" s="5" t="inlineStr">
        <is>
          <t>Todos los pasos pasaron</t>
        </is>
      </c>
      <c r="L187" s="6" t="inlineStr">
        <is>
          <t>Aprobado</t>
        </is>
      </c>
      <c r="M187" s="5" t="inlineStr">
        <is>
          <t>2026-10-26</t>
        </is>
      </c>
      <c r="N187" s="5" t="inlineStr">
        <is>
          <t>e2e/serenity/reports/serenity-js (HTML)</t>
        </is>
      </c>
      <c r="O187" s="5" t="inlineStr">
        <is>
          <t>-</t>
        </is>
      </c>
    </row>
    <row r="188">
      <c r="A188" s="5" t="inlineStr">
        <is>
          <t>EXTRA</t>
        </is>
      </c>
      <c r="B188" s="5" t="inlineStr">
        <is>
          <t>Depositar dinero</t>
        </is>
      </c>
      <c r="C188" s="5" t="inlineStr">
        <is>
          <t>depositar.feature</t>
        </is>
      </c>
      <c r="D188" s="5" t="inlineStr">
        <is>
          <t>SJ-DEP-01</t>
        </is>
      </c>
      <c r="E188" s="5" t="inlineStr">
        <is>
          <t>Depositar un monto válido</t>
        </is>
      </c>
      <c r="F188" s="5" t="inlineStr">
        <is>
          <t>Integración (API)</t>
        </is>
      </c>
      <c r="G188" s="5" t="inlineStr">
        <is>
          <t>Funcional</t>
        </is>
      </c>
      <c r="H188" s="5" t="inlineStr">
        <is>
          <t>Serenity/JS Screenplay + Gherkin</t>
        </is>
      </c>
      <c r="I188" s="5" t="inlineStr">
        <is>
          <t>e2e/serenity/features/depositar.feature</t>
        </is>
      </c>
      <c r="J188" s="5" t="inlineStr">
        <is>
          <t>la respuesta HTTP tiene estado 200; el saldo de su cuenta es 250000</t>
        </is>
      </c>
      <c r="K188" s="5" t="inlineStr">
        <is>
          <t>Todos los pasos pasaron</t>
        </is>
      </c>
      <c r="L188" s="6" t="inlineStr">
        <is>
          <t>Aprobado</t>
        </is>
      </c>
      <c r="M188" s="5" t="inlineStr">
        <is>
          <t>2026-10-26</t>
        </is>
      </c>
      <c r="N188" s="5" t="inlineStr">
        <is>
          <t>e2e/serenity/reports/serenity-js (HTML)</t>
        </is>
      </c>
      <c r="O188" s="5" t="inlineStr">
        <is>
          <t>-</t>
        </is>
      </c>
    </row>
    <row r="189">
      <c r="A189" s="5" t="inlineStr">
        <is>
          <t>EXTRA</t>
        </is>
      </c>
      <c r="B189" s="5" t="inlineStr">
        <is>
          <t>Depositar dinero</t>
        </is>
      </c>
      <c r="C189" s="5" t="inlineStr">
        <is>
          <t>depositar.feature</t>
        </is>
      </c>
      <c r="D189" s="5" t="inlineStr">
        <is>
          <t>SJ-DEP-02</t>
        </is>
      </c>
      <c r="E189" s="5" t="inlineStr">
        <is>
          <t>Los depósitos se acumulan en el saldo</t>
        </is>
      </c>
      <c r="F189" s="5" t="inlineStr">
        <is>
          <t>Integración (API)</t>
        </is>
      </c>
      <c r="G189" s="5" t="inlineStr">
        <is>
          <t>Funcional</t>
        </is>
      </c>
      <c r="H189" s="5" t="inlineStr">
        <is>
          <t>Serenity/JS Screenplay + Gherkin</t>
        </is>
      </c>
      <c r="I189" s="5" t="inlineStr">
        <is>
          <t>e2e/serenity/features/depositar.feature</t>
        </is>
      </c>
      <c r="J189" s="5" t="inlineStr">
        <is>
          <t>él deposita por API 50000 en su cuenta; el saldo de su cuenta es 150000</t>
        </is>
      </c>
      <c r="K189" s="5" t="inlineStr">
        <is>
          <t>Todos los pasos pasaron</t>
        </is>
      </c>
      <c r="L189" s="6" t="inlineStr">
        <is>
          <t>Aprobado</t>
        </is>
      </c>
      <c r="M189" s="5" t="inlineStr">
        <is>
          <t>2026-10-26</t>
        </is>
      </c>
      <c r="N189" s="5" t="inlineStr">
        <is>
          <t>e2e/serenity/reports/serenity-js (HTML)</t>
        </is>
      </c>
      <c r="O189" s="5" t="inlineStr">
        <is>
          <t>-</t>
        </is>
      </c>
    </row>
    <row r="190">
      <c r="A190" s="5" t="inlineStr">
        <is>
          <t>EXTRA</t>
        </is>
      </c>
      <c r="B190" s="5" t="inlineStr">
        <is>
          <t>Depositar dinero</t>
        </is>
      </c>
      <c r="C190" s="5" t="inlineStr">
        <is>
          <t>depositar.feature</t>
        </is>
      </c>
      <c r="D190" s="5" t="inlineStr">
        <is>
          <t>SJ-DEP-03</t>
        </is>
      </c>
      <c r="E190" s="5" t="inlineStr">
        <is>
          <t>Rechazar un depósito de 0</t>
        </is>
      </c>
      <c r="F190" s="5" t="inlineStr">
        <is>
          <t>Integración (API)</t>
        </is>
      </c>
      <c r="G190" s="5" t="inlineStr">
        <is>
          <t>Funcional</t>
        </is>
      </c>
      <c r="H190" s="5" t="inlineStr">
        <is>
          <t>Serenity/JS Screenplay + Gherkin</t>
        </is>
      </c>
      <c r="I190" s="5" t="inlineStr">
        <is>
          <t>e2e/serenity/features/depositar.feature</t>
        </is>
      </c>
      <c r="J190" s="5" t="inlineStr">
        <is>
          <t>la respuesta HTTP tiene estado 400; el código de error es "INVALID_AMOUNT"; el saldo de su cuenta es 0</t>
        </is>
      </c>
      <c r="K190" s="5" t="inlineStr">
        <is>
          <t>Todos los pasos pasaron</t>
        </is>
      </c>
      <c r="L190" s="6" t="inlineStr">
        <is>
          <t>Aprobado</t>
        </is>
      </c>
      <c r="M190" s="5" t="inlineStr">
        <is>
          <t>2026-10-26</t>
        </is>
      </c>
      <c r="N190" s="5" t="inlineStr">
        <is>
          <t>e2e/serenity/reports/serenity-js (HTML)</t>
        </is>
      </c>
      <c r="O190" s="5" t="inlineStr">
        <is>
          <t>-</t>
        </is>
      </c>
    </row>
    <row r="191">
      <c r="A191" s="5" t="inlineStr">
        <is>
          <t>EXTRA</t>
        </is>
      </c>
      <c r="B191" s="5" t="inlineStr">
        <is>
          <t>Depositar dinero</t>
        </is>
      </c>
      <c r="C191" s="5" t="inlineStr">
        <is>
          <t>depositar.feature</t>
        </is>
      </c>
      <c r="D191" s="5" t="inlineStr">
        <is>
          <t>SJ-DEP-04</t>
        </is>
      </c>
      <c r="E191" s="5" t="inlineStr">
        <is>
          <t>Rechazar un depósito de -50000</t>
        </is>
      </c>
      <c r="F191" s="5" t="inlineStr">
        <is>
          <t>Integración (API)</t>
        </is>
      </c>
      <c r="G191" s="5" t="inlineStr">
        <is>
          <t>Funcional</t>
        </is>
      </c>
      <c r="H191" s="5" t="inlineStr">
        <is>
          <t>Serenity/JS Screenplay + Gherkin</t>
        </is>
      </c>
      <c r="I191" s="5" t="inlineStr">
        <is>
          <t>e2e/serenity/features/depositar.feature</t>
        </is>
      </c>
      <c r="J191" s="5" t="inlineStr">
        <is>
          <t>la respuesta HTTP tiene estado 400; el código de error es "INVALID_AMOUNT"; el saldo de su cuenta es 0</t>
        </is>
      </c>
      <c r="K191" s="5" t="inlineStr">
        <is>
          <t>Todos los pasos pasaron</t>
        </is>
      </c>
      <c r="L191" s="6" t="inlineStr">
        <is>
          <t>Aprobado</t>
        </is>
      </c>
      <c r="M191" s="5" t="inlineStr">
        <is>
          <t>2026-10-26</t>
        </is>
      </c>
      <c r="N191" s="5" t="inlineStr">
        <is>
          <t>e2e/serenity/reports/serenity-js (HTML)</t>
        </is>
      </c>
      <c r="O191" s="5" t="inlineStr">
        <is>
          <t>-</t>
        </is>
      </c>
    </row>
    <row r="192">
      <c r="A192" s="5" t="inlineStr">
        <is>
          <t>EXTRA</t>
        </is>
      </c>
      <c r="B192" s="5" t="inlineStr">
        <is>
          <t>Depositar dinero</t>
        </is>
      </c>
      <c r="C192" s="5" t="inlineStr">
        <is>
          <t>depositar.feature</t>
        </is>
      </c>
      <c r="D192" s="5" t="inlineStr">
        <is>
          <t>SJ-DEP-05</t>
        </is>
      </c>
      <c r="E192" s="5" t="inlineStr">
        <is>
          <t>Rechazar un monto que no es un número (true)</t>
        </is>
      </c>
      <c r="F192" s="5" t="inlineStr">
        <is>
          <t>Integración (API)</t>
        </is>
      </c>
      <c r="G192" s="5" t="inlineStr">
        <is>
          <t>Seguridad</t>
        </is>
      </c>
      <c r="H192" s="5" t="inlineStr">
        <is>
          <t>Serenity/JS Screenplay + Gherkin</t>
        </is>
      </c>
      <c r="I192" s="5" t="inlineStr">
        <is>
          <t>e2e/serenity/features/depositar.feature</t>
        </is>
      </c>
      <c r="J192" s="5" t="inlineStr">
        <is>
          <t>la respuesta HTTP tiene estado 400; el código de error es "INVALID_AMOUNT"; el saldo de su cuenta es 0</t>
        </is>
      </c>
      <c r="K192" s="5" t="inlineStr">
        <is>
          <t>Todos los pasos pasaron</t>
        </is>
      </c>
      <c r="L192" s="6" t="inlineStr">
        <is>
          <t>Aprobado</t>
        </is>
      </c>
      <c r="M192" s="5" t="inlineStr">
        <is>
          <t>2026-10-26</t>
        </is>
      </c>
      <c r="N192" s="5" t="inlineStr">
        <is>
          <t>e2e/serenity/reports/serenity-js (HTML)</t>
        </is>
      </c>
      <c r="O192" s="5" t="inlineStr">
        <is>
          <t>-</t>
        </is>
      </c>
    </row>
    <row r="193">
      <c r="A193" s="5" t="inlineStr">
        <is>
          <t>EXTRA</t>
        </is>
      </c>
      <c r="B193" s="5" t="inlineStr">
        <is>
          <t>Depositar dinero</t>
        </is>
      </c>
      <c r="C193" s="5" t="inlineStr">
        <is>
          <t>depositar.feature</t>
        </is>
      </c>
      <c r="D193" s="5" t="inlineStr">
        <is>
          <t>SJ-DEP-06</t>
        </is>
      </c>
      <c r="E193" s="5" t="inlineStr">
        <is>
          <t>Rechazar un monto que no es un número ("abc")</t>
        </is>
      </c>
      <c r="F193" s="5" t="inlineStr">
        <is>
          <t>Integración (API)</t>
        </is>
      </c>
      <c r="G193" s="5" t="inlineStr">
        <is>
          <t>Seguridad</t>
        </is>
      </c>
      <c r="H193" s="5" t="inlineStr">
        <is>
          <t>Serenity/JS Screenplay + Gherkin</t>
        </is>
      </c>
      <c r="I193" s="5" t="inlineStr">
        <is>
          <t>e2e/serenity/features/depositar.feature</t>
        </is>
      </c>
      <c r="J193" s="5" t="inlineStr">
        <is>
          <t>la respuesta HTTP tiene estado 400; el código de error es "INVALID_AMOUNT"; el saldo de su cuenta es 0</t>
        </is>
      </c>
      <c r="K193" s="5" t="inlineStr">
        <is>
          <t>Todos los pasos pasaron</t>
        </is>
      </c>
      <c r="L193" s="6" t="inlineStr">
        <is>
          <t>Aprobado</t>
        </is>
      </c>
      <c r="M193" s="5" t="inlineStr">
        <is>
          <t>2026-10-26</t>
        </is>
      </c>
      <c r="N193" s="5" t="inlineStr">
        <is>
          <t>e2e/serenity/reports/serenity-js (HTML)</t>
        </is>
      </c>
      <c r="O193" s="5" t="inlineStr">
        <is>
          <t>-</t>
        </is>
      </c>
    </row>
    <row r="194">
      <c r="A194" s="5" t="inlineStr">
        <is>
          <t>EXTRA</t>
        </is>
      </c>
      <c r="B194" s="5" t="inlineStr">
        <is>
          <t>Depositar dinero</t>
        </is>
      </c>
      <c r="C194" s="5" t="inlineStr">
        <is>
          <t>depositar.feature</t>
        </is>
      </c>
      <c r="D194" s="5" t="inlineStr">
        <is>
          <t>SJ-DEP-07</t>
        </is>
      </c>
      <c r="E194" s="5" t="inlineStr">
        <is>
          <t>Rechazar un monto que no es un número (null)</t>
        </is>
      </c>
      <c r="F194" s="5" t="inlineStr">
        <is>
          <t>Integración (API)</t>
        </is>
      </c>
      <c r="G194" s="5" t="inlineStr">
        <is>
          <t>Seguridad</t>
        </is>
      </c>
      <c r="H194" s="5" t="inlineStr">
        <is>
          <t>Serenity/JS Screenplay + Gherkin</t>
        </is>
      </c>
      <c r="I194" s="5" t="inlineStr">
        <is>
          <t>e2e/serenity/features/depositar.feature</t>
        </is>
      </c>
      <c r="J194" s="5" t="inlineStr">
        <is>
          <t>la respuesta HTTP tiene estado 400; el código de error es "INVALID_AMOUNT"; el saldo de su cuenta es 0</t>
        </is>
      </c>
      <c r="K194" s="5" t="inlineStr">
        <is>
          <t>Todos los pasos pasaron</t>
        </is>
      </c>
      <c r="L194" s="6" t="inlineStr">
        <is>
          <t>Aprobado</t>
        </is>
      </c>
      <c r="M194" s="5" t="inlineStr">
        <is>
          <t>2026-10-26</t>
        </is>
      </c>
      <c r="N194" s="5" t="inlineStr">
        <is>
          <t>e2e/serenity/reports/serenity-js (HTML)</t>
        </is>
      </c>
      <c r="O194" s="5" t="inlineStr">
        <is>
          <t>-</t>
        </is>
      </c>
    </row>
    <row r="195">
      <c r="A195" s="5" t="inlineStr">
        <is>
          <t>EXTRA</t>
        </is>
      </c>
      <c r="B195" s="5" t="inlineStr">
        <is>
          <t>Depositar dinero</t>
        </is>
      </c>
      <c r="C195" s="5" t="inlineStr">
        <is>
          <t>depositar.feature</t>
        </is>
      </c>
      <c r="D195" s="5" t="inlineStr">
        <is>
          <t>SJ-DEP-08</t>
        </is>
      </c>
      <c r="E195" s="5" t="inlineStr">
        <is>
          <t>Rechazar un monto que no es un número ([1000])</t>
        </is>
      </c>
      <c r="F195" s="5" t="inlineStr">
        <is>
          <t>Integración (API)</t>
        </is>
      </c>
      <c r="G195" s="5" t="inlineStr">
        <is>
          <t>Seguridad</t>
        </is>
      </c>
      <c r="H195" s="5" t="inlineStr">
        <is>
          <t>Serenity/JS Screenplay + Gherkin</t>
        </is>
      </c>
      <c r="I195" s="5" t="inlineStr">
        <is>
          <t>e2e/serenity/features/depositar.feature</t>
        </is>
      </c>
      <c r="J195" s="5" t="inlineStr">
        <is>
          <t>la respuesta HTTP tiene estado 400; el código de error es "INVALID_AMOUNT"; el saldo de su cuenta es 0</t>
        </is>
      </c>
      <c r="K195" s="5" t="inlineStr">
        <is>
          <t>Todos los pasos pasaron</t>
        </is>
      </c>
      <c r="L195" s="6" t="inlineStr">
        <is>
          <t>Aprobado</t>
        </is>
      </c>
      <c r="M195" s="5" t="inlineStr">
        <is>
          <t>2026-10-26</t>
        </is>
      </c>
      <c r="N195" s="5" t="inlineStr">
        <is>
          <t>e2e/serenity/reports/serenity-js (HTML)</t>
        </is>
      </c>
      <c r="O195" s="5" t="inlineStr">
        <is>
          <t>-</t>
        </is>
      </c>
    </row>
    <row r="196">
      <c r="A196" s="5" t="inlineStr">
        <is>
          <t>EXTRA</t>
        </is>
      </c>
      <c r="B196" s="5" t="inlineStr">
        <is>
          <t>Depositar dinero</t>
        </is>
      </c>
      <c r="C196" s="5" t="inlineStr">
        <is>
          <t>depositar.feature</t>
        </is>
      </c>
      <c r="D196" s="5" t="inlineStr">
        <is>
          <t>SJ-DEP-09</t>
        </is>
      </c>
      <c r="E196" s="5" t="inlineStr">
        <is>
          <t>No se puede depositar en la cuenta de otro cliente</t>
        </is>
      </c>
      <c r="F196" s="5" t="inlineStr">
        <is>
          <t>Integración (API)</t>
        </is>
      </c>
      <c r="G196" s="5" t="inlineStr">
        <is>
          <t>Seguridad</t>
        </is>
      </c>
      <c r="H196" s="5" t="inlineStr">
        <is>
          <t>Serenity/JS Screenplay + Gherkin</t>
        </is>
      </c>
      <c r="I196" s="5" t="inlineStr">
        <is>
          <t>e2e/serenity/features/depositar.feature</t>
        </is>
      </c>
      <c r="J196" s="5" t="inlineStr">
        <is>
          <t>la respuesta HTTP tiene estado 403; el código de error es "FORBIDDEN"; el saldo de la cuenta de Diana es 100000</t>
        </is>
      </c>
      <c r="K196" s="5" t="inlineStr">
        <is>
          <t>Todos los pasos pasaron</t>
        </is>
      </c>
      <c r="L196" s="6" t="inlineStr">
        <is>
          <t>Aprobado</t>
        </is>
      </c>
      <c r="M196" s="5" t="inlineStr">
        <is>
          <t>2026-10-26</t>
        </is>
      </c>
      <c r="N196" s="5" t="inlineStr">
        <is>
          <t>e2e/serenity/reports/serenity-js (HTML)</t>
        </is>
      </c>
      <c r="O196" s="5" t="inlineStr">
        <is>
          <t>-</t>
        </is>
      </c>
    </row>
    <row r="197">
      <c r="A197" s="5" t="inlineStr">
        <is>
          <t>EXTRA</t>
        </is>
      </c>
      <c r="B197" s="5" t="inlineStr">
        <is>
          <t>Depositar dinero</t>
        </is>
      </c>
      <c r="C197" s="5" t="inlineStr">
        <is>
          <t>depositar.feature</t>
        </is>
      </c>
      <c r="D197" s="5" t="inlineStr">
        <is>
          <t>SJ-DEP-10</t>
        </is>
      </c>
      <c r="E197" s="5" t="inlineStr">
        <is>
          <t>Abonar saldo desde la pantalla de cuentas</t>
        </is>
      </c>
      <c r="F197" s="5" t="inlineStr">
        <is>
          <t>Sistema (E2E UI)</t>
        </is>
      </c>
      <c r="G197" s="5" t="inlineStr">
        <is>
          <t>Funcional</t>
        </is>
      </c>
      <c r="H197" s="5" t="inlineStr">
        <is>
          <t>Serenity/JS Screenplay + Gherkin</t>
        </is>
      </c>
      <c r="I197" s="5" t="inlineStr">
        <is>
          <t>e2e/serenity/features/depositar.feature</t>
        </is>
      </c>
      <c r="J197" s="5" t="inlineStr">
        <is>
          <t>él ve la notificación "Deposito realizado"; él ve el saldo de su cuenta en 150000; el saldo de su cuenta es 150000</t>
        </is>
      </c>
      <c r="K197" s="5" t="inlineStr">
        <is>
          <t>Todos los pasos pasaron</t>
        </is>
      </c>
      <c r="L197" s="6" t="inlineStr">
        <is>
          <t>Aprobado</t>
        </is>
      </c>
      <c r="M197" s="5" t="inlineStr">
        <is>
          <t>2026-10-26</t>
        </is>
      </c>
      <c r="N197" s="5" t="inlineStr">
        <is>
          <t>e2e/serenity/reports/serenity-js (HTML)</t>
        </is>
      </c>
      <c r="O197" s="5" t="inlineStr">
        <is>
          <t>-</t>
        </is>
      </c>
    </row>
    <row r="198">
      <c r="A198" s="5" t="inlineStr">
        <is>
          <t>EXTRA</t>
        </is>
      </c>
      <c r="B198" s="5" t="inlineStr">
        <is>
          <t>Depositar dinero</t>
        </is>
      </c>
      <c r="C198" s="5" t="inlineStr">
        <is>
          <t>depositar.feature</t>
        </is>
      </c>
      <c r="D198" s="5" t="inlineStr">
        <is>
          <t>SJ-DEP-11</t>
        </is>
      </c>
      <c r="E198" s="5" t="inlineStr">
        <is>
          <t>El formulario de abono rechaza un monto en cero</t>
        </is>
      </c>
      <c r="F198" s="5" t="inlineStr">
        <is>
          <t>Sistema (E2E UI)</t>
        </is>
      </c>
      <c r="G198" s="5" t="inlineStr">
        <is>
          <t>Funcional</t>
        </is>
      </c>
      <c r="H198" s="5" t="inlineStr">
        <is>
          <t>Serenity/JS Screenplay + Gherkin</t>
        </is>
      </c>
      <c r="I198" s="5" t="inlineStr">
        <is>
          <t>e2e/serenity/features/depositar.feature</t>
        </is>
      </c>
      <c r="J198" s="5" t="inlineStr">
        <is>
          <t>él ve el error del formulario "Por favor ingresa un monto válido mayor a cero."; el saldo de su cuenta es 0</t>
        </is>
      </c>
      <c r="K198" s="5" t="inlineStr">
        <is>
          <t>Todos los pasos pasaron</t>
        </is>
      </c>
      <c r="L198" s="6" t="inlineStr">
        <is>
          <t>Aprobado</t>
        </is>
      </c>
      <c r="M198" s="5" t="inlineStr">
        <is>
          <t>2026-10-26</t>
        </is>
      </c>
      <c r="N198" s="5" t="inlineStr">
        <is>
          <t>e2e/serenity/reports/serenity-js (HTML)</t>
        </is>
      </c>
      <c r="O198" s="5" t="inlineStr">
        <is>
          <t>-</t>
        </is>
      </c>
    </row>
    <row r="199">
      <c r="A199" s="5" t="inlineStr">
        <is>
          <t>EXTRA</t>
        </is>
      </c>
      <c r="B199" s="5" t="inlineStr">
        <is>
          <t>Depositar dinero</t>
        </is>
      </c>
      <c r="C199" s="5" t="inlineStr">
        <is>
          <t>Stagehand + Claude</t>
        </is>
      </c>
      <c r="D199" s="5" t="inlineStr">
        <is>
          <t>SH-D06</t>
        </is>
      </c>
      <c r="E199" s="5" t="inlineStr">
        <is>
          <t>La IA abona saldo a la cuenta; antes comprueba que el formulario rechaza un monto en cero. (act + extract + observe)</t>
        </is>
      </c>
      <c r="F199" s="5" t="inlineStr">
        <is>
          <t>Sistema (E2E UI con IA)</t>
        </is>
      </c>
      <c r="G199" s="5" t="inlineStr">
        <is>
          <t>Funcional</t>
        </is>
      </c>
      <c r="H199" s="5" t="inlineStr">
        <is>
          <t>Stagehand (act/observe/extract)</t>
        </is>
      </c>
      <c r="I199" s="5" t="inlineStr">
        <is>
          <t>e2e/stagehand/src/bolsillos/scenarios.ts</t>
        </is>
      </c>
      <c r="J199" s="5" t="inlineStr">
        <is>
          <t>Con 0: error "Por favor ingresa un monto válido mayor a cero." y saldo 0. Con 150.000: toast "Deposito realizado" y saldo 150.000.</t>
        </is>
      </c>
      <c r="K199" s="5" t="inlineStr">
        <is>
          <t>6/6 validaciones correctas</t>
        </is>
      </c>
      <c r="L199" s="6" t="inlineStr">
        <is>
          <t>Aprobado</t>
        </is>
      </c>
      <c r="M199" s="5" t="inlineStr">
        <is>
          <t>2026-10-26</t>
        </is>
      </c>
      <c r="N199" s="5" t="inlineStr">
        <is>
          <t>e2e/stagehand/evidence/bolsillos/SH-D06-*.png · SH-D06-report.json</t>
        </is>
      </c>
      <c r="O199" s="5" t="inlineStr">
        <is>
          <t>-</t>
        </is>
      </c>
    </row>
    <row r="200">
      <c r="A200" s="5" t="inlineStr">
        <is>
          <t>EXTRA</t>
        </is>
      </c>
      <c r="B200" s="5" t="inlineStr">
        <is>
          <t>Depositar dinero</t>
        </is>
      </c>
      <c r="C200" s="5" t="inlineStr">
        <is>
          <t>Suite automatizada</t>
        </is>
      </c>
      <c r="D200" s="5" t="inlineStr">
        <is>
          <t>VT-DepositMoney</t>
        </is>
      </c>
      <c r="E200" s="5" t="inlineStr">
        <is>
          <t>DepositMoney.test.ts (12 pruebas)</t>
        </is>
      </c>
      <c r="F200" s="5" t="inlineStr">
        <is>
          <t>Unitaria / Integración</t>
        </is>
      </c>
      <c r="G200" s="5" t="inlineStr">
        <is>
          <t>Funcional (regresión)</t>
        </is>
      </c>
      <c r="H200" s="5" t="inlineStr">
        <is>
          <t>Vitest · regresión + unitarias (AAA, 5 dobles)</t>
        </is>
      </c>
      <c r="I200" s="5" t="inlineStr">
        <is>
          <t>DepositMoney.test.ts</t>
        </is>
      </c>
      <c r="J200" s="5" t="inlineStr">
        <is>
          <t>Todas las pruebas del archivo pasan (incluye `it.fails` de defectos abiertos)</t>
        </is>
      </c>
      <c r="K200" s="5" t="inlineStr">
        <is>
          <t>12/12 pasan</t>
        </is>
      </c>
      <c r="L200" s="6" t="inlineStr">
        <is>
          <t>Aprobado</t>
        </is>
      </c>
      <c r="M200" s="5" t="inlineStr">
        <is>
          <t>2026-10-26</t>
        </is>
      </c>
      <c r="N200" s="5" t="inlineStr">
        <is>
          <t>docs/evidencia-final-bolsillos/vitest-regresion.json</t>
        </is>
      </c>
      <c r="O200" s="5" t="inlineStr">
        <is>
          <t>-</t>
        </is>
      </c>
    </row>
    <row r="201">
      <c r="A201" s="5" t="inlineStr">
        <is>
          <t>EXTRA</t>
        </is>
      </c>
      <c r="B201" s="5" t="inlineStr">
        <is>
          <t>Depositar dinero</t>
        </is>
      </c>
      <c r="C201" s="5" t="inlineStr">
        <is>
          <t>Suite automatizada</t>
        </is>
      </c>
      <c r="D201" s="5" t="inlineStr">
        <is>
          <t>VT-depositar</t>
        </is>
      </c>
      <c r="E201" s="5" t="inlineStr">
        <is>
          <t>depositar.regression.test.ts (16 pruebas)</t>
        </is>
      </c>
      <c r="F201" s="5" t="inlineStr">
        <is>
          <t>Unitaria / Integración</t>
        </is>
      </c>
      <c r="G201" s="5" t="inlineStr">
        <is>
          <t>Funcional (regresión)</t>
        </is>
      </c>
      <c r="H201" s="5" t="inlineStr">
        <is>
          <t>Vitest · regresión + unitarias (AAA, 5 dobles)</t>
        </is>
      </c>
      <c r="I201" s="5" t="inlineStr">
        <is>
          <t>depositar.regression.test.ts</t>
        </is>
      </c>
      <c r="J201" s="5" t="inlineStr">
        <is>
          <t>Todas las pruebas del archivo pasan (incluye `it.fails` de defectos abiertos)</t>
        </is>
      </c>
      <c r="K201" s="5" t="inlineStr">
        <is>
          <t>16/16 pasan</t>
        </is>
      </c>
      <c r="L201" s="6" t="inlineStr">
        <is>
          <t>Aprobado</t>
        </is>
      </c>
      <c r="M201" s="5" t="inlineStr">
        <is>
          <t>2026-10-26</t>
        </is>
      </c>
      <c r="N201" s="5" t="inlineStr">
        <is>
          <t>docs/evidencia-final-bolsillos/vitest-regresion.json</t>
        </is>
      </c>
      <c r="O201" s="5" t="inlineStr">
        <is>
          <t>-</t>
        </is>
      </c>
    </row>
    <row r="202">
      <c r="A202" s="5" t="inlineStr">
        <is>
          <t>—</t>
        </is>
      </c>
      <c r="B202" s="5" t="inlineStr">
        <is>
          <t>Transversal (entidades, validadores, seguridad)</t>
        </is>
      </c>
      <c r="C202" s="5" t="inlineStr">
        <is>
          <t>Keploy test-set-0</t>
        </is>
      </c>
      <c r="D202" s="5" t="inlineStr">
        <is>
          <t>KP-get-api-v1-accounts-by-id-1</t>
        </is>
      </c>
      <c r="E202" s="5" t="inlineStr">
        <is>
          <t>get-api-v1-accounts-by-id-1</t>
        </is>
      </c>
      <c r="F202" s="5" t="inlineStr">
        <is>
          <t>Integración (API, mocks de Supabase)</t>
        </is>
      </c>
      <c r="G202" s="5" t="inlineStr">
        <is>
          <t>Regresión</t>
        </is>
      </c>
      <c r="H202" s="5" t="inlineStr">
        <is>
          <t>Keploy (herramienta IA 3)</t>
        </is>
      </c>
      <c r="I202" s="5" t="inlineStr">
        <is>
          <t>03-keploy/evidence/test-set-0-saneado/tests/get-api-v1-accounts-by-id-1.yaml</t>
        </is>
      </c>
      <c r="J202" s="5" t="inlineStr">
        <is>
          <t>Respuesta igual a la grabada (ruido declarado: data.token, data.id, Etag)</t>
        </is>
      </c>
      <c r="K202" s="5" t="inlineStr">
        <is>
          <t>Reproducida sin Supabase, igual a la grabada</t>
        </is>
      </c>
      <c r="L202" s="6" t="inlineStr">
        <is>
          <t>Aprobado</t>
        </is>
      </c>
      <c r="M202" s="5" t="inlineStr">
        <is>
          <t>2026-10-26</t>
        </is>
      </c>
      <c r="N202" s="5" t="inlineStr">
        <is>
          <t>03-keploy/evidence/02-replay-con-ruido-50-de-50.txt</t>
        </is>
      </c>
      <c r="O202" s="5" t="inlineStr">
        <is>
          <t>-</t>
        </is>
      </c>
    </row>
    <row r="203">
      <c r="A203" s="5" t="inlineStr">
        <is>
          <t>—</t>
        </is>
      </c>
      <c r="B203" s="5" t="inlineStr">
        <is>
          <t>Transversal (entidades, validadores, seguridad)</t>
        </is>
      </c>
      <c r="C203" s="5" t="inlineStr">
        <is>
          <t>Keploy test-set-0</t>
        </is>
      </c>
      <c r="D203" s="5" t="inlineStr">
        <is>
          <t>KP-get-api-v1-accounts-by-id-10</t>
        </is>
      </c>
      <c r="E203" s="5" t="inlineStr">
        <is>
          <t>get-api-v1-accounts-by-id-10</t>
        </is>
      </c>
      <c r="F203" s="5" t="inlineStr">
        <is>
          <t>Integración (API, mocks de Supabase)</t>
        </is>
      </c>
      <c r="G203" s="5" t="inlineStr">
        <is>
          <t>Regresión</t>
        </is>
      </c>
      <c r="H203" s="5" t="inlineStr">
        <is>
          <t>Keploy (herramienta IA 3)</t>
        </is>
      </c>
      <c r="I203" s="5" t="inlineStr">
        <is>
          <t>03-keploy/evidence/test-set-0-saneado/tests/get-api-v1-accounts-by-id-10.yaml</t>
        </is>
      </c>
      <c r="J203" s="5" t="inlineStr">
        <is>
          <t>Respuesta igual a la grabada (ruido declarado: data.token, data.id, Etag)</t>
        </is>
      </c>
      <c r="K203" s="5" t="inlineStr">
        <is>
          <t>Reproducida sin Supabase, igual a la grabada</t>
        </is>
      </c>
      <c r="L203" s="6" t="inlineStr">
        <is>
          <t>Aprobado</t>
        </is>
      </c>
      <c r="M203" s="5" t="inlineStr">
        <is>
          <t>2026-10-26</t>
        </is>
      </c>
      <c r="N203" s="5" t="inlineStr">
        <is>
          <t>03-keploy/evidence/02-replay-con-ruido-50-de-50.txt</t>
        </is>
      </c>
      <c r="O203" s="5" t="inlineStr">
        <is>
          <t>-</t>
        </is>
      </c>
    </row>
    <row r="204">
      <c r="A204" s="5" t="inlineStr">
        <is>
          <t>—</t>
        </is>
      </c>
      <c r="B204" s="5" t="inlineStr">
        <is>
          <t>Transversal (entidades, validadores, seguridad)</t>
        </is>
      </c>
      <c r="C204" s="5" t="inlineStr">
        <is>
          <t>Keploy test-set-0</t>
        </is>
      </c>
      <c r="D204" s="5" t="inlineStr">
        <is>
          <t>KP-get-api-v1-accounts-by-id-11</t>
        </is>
      </c>
      <c r="E204" s="5" t="inlineStr">
        <is>
          <t>get-api-v1-accounts-by-id-11</t>
        </is>
      </c>
      <c r="F204" s="5" t="inlineStr">
        <is>
          <t>Integración (API, mocks de Supabase)</t>
        </is>
      </c>
      <c r="G204" s="5" t="inlineStr">
        <is>
          <t>Regresión</t>
        </is>
      </c>
      <c r="H204" s="5" t="inlineStr">
        <is>
          <t>Keploy (herramienta IA 3)</t>
        </is>
      </c>
      <c r="I204" s="5" t="inlineStr">
        <is>
          <t>03-keploy/evidence/test-set-0-saneado/tests/get-api-v1-accounts-by-id-11.yaml</t>
        </is>
      </c>
      <c r="J204" s="5" t="inlineStr">
        <is>
          <t>Respuesta igual a la grabada (ruido declarado: data.token, data.id, Etag)</t>
        </is>
      </c>
      <c r="K204" s="5" t="inlineStr">
        <is>
          <t>Reproducida sin Supabase, igual a la grabada</t>
        </is>
      </c>
      <c r="L204" s="6" t="inlineStr">
        <is>
          <t>Aprobado</t>
        </is>
      </c>
      <c r="M204" s="5" t="inlineStr">
        <is>
          <t>2026-10-26</t>
        </is>
      </c>
      <c r="N204" s="5" t="inlineStr">
        <is>
          <t>03-keploy/evidence/02-replay-con-ruido-50-de-50.txt</t>
        </is>
      </c>
      <c r="O204" s="5" t="inlineStr">
        <is>
          <t>-</t>
        </is>
      </c>
    </row>
    <row r="205">
      <c r="A205" s="5" t="inlineStr">
        <is>
          <t>—</t>
        </is>
      </c>
      <c r="B205" s="5" t="inlineStr">
        <is>
          <t>Transversal (entidades, validadores, seguridad)</t>
        </is>
      </c>
      <c r="C205" s="5" t="inlineStr">
        <is>
          <t>Keploy test-set-0</t>
        </is>
      </c>
      <c r="D205" s="5" t="inlineStr">
        <is>
          <t>KP-get-api-v1-accounts-by-id-12</t>
        </is>
      </c>
      <c r="E205" s="5" t="inlineStr">
        <is>
          <t>get-api-v1-accounts-by-id-12</t>
        </is>
      </c>
      <c r="F205" s="5" t="inlineStr">
        <is>
          <t>Integración (API, mocks de Supabase)</t>
        </is>
      </c>
      <c r="G205" s="5" t="inlineStr">
        <is>
          <t>Regresión</t>
        </is>
      </c>
      <c r="H205" s="5" t="inlineStr">
        <is>
          <t>Keploy (herramienta IA 3)</t>
        </is>
      </c>
      <c r="I205" s="5" t="inlineStr">
        <is>
          <t>03-keploy/evidence/test-set-0-saneado/tests/get-api-v1-accounts-by-id-12.yaml</t>
        </is>
      </c>
      <c r="J205" s="5" t="inlineStr">
        <is>
          <t>Respuesta igual a la grabada (ruido declarado: data.token, data.id, Etag)</t>
        </is>
      </c>
      <c r="K205" s="5" t="inlineStr">
        <is>
          <t>Reproducida sin Supabase, igual a la grabada</t>
        </is>
      </c>
      <c r="L205" s="6" t="inlineStr">
        <is>
          <t>Aprobado</t>
        </is>
      </c>
      <c r="M205" s="5" t="inlineStr">
        <is>
          <t>2026-10-26</t>
        </is>
      </c>
      <c r="N205" s="5" t="inlineStr">
        <is>
          <t>03-keploy/evidence/02-replay-con-ruido-50-de-50.txt</t>
        </is>
      </c>
      <c r="O205" s="5" t="inlineStr">
        <is>
          <t>-</t>
        </is>
      </c>
    </row>
    <row r="206">
      <c r="A206" s="5" t="inlineStr">
        <is>
          <t>—</t>
        </is>
      </c>
      <c r="B206" s="5" t="inlineStr">
        <is>
          <t>Transversal (entidades, validadores, seguridad)</t>
        </is>
      </c>
      <c r="C206" s="5" t="inlineStr">
        <is>
          <t>Keploy test-set-0</t>
        </is>
      </c>
      <c r="D206" s="5" t="inlineStr">
        <is>
          <t>KP-get-api-v1-accounts-by-id-13</t>
        </is>
      </c>
      <c r="E206" s="5" t="inlineStr">
        <is>
          <t>get-api-v1-accounts-by-id-13</t>
        </is>
      </c>
      <c r="F206" s="5" t="inlineStr">
        <is>
          <t>Integración (API, mocks de Supabase)</t>
        </is>
      </c>
      <c r="G206" s="5" t="inlineStr">
        <is>
          <t>Regresión</t>
        </is>
      </c>
      <c r="H206" s="5" t="inlineStr">
        <is>
          <t>Keploy (herramienta IA 3)</t>
        </is>
      </c>
      <c r="I206" s="5" t="inlineStr">
        <is>
          <t>03-keploy/evidence/test-set-0-saneado/tests/get-api-v1-accounts-by-id-13.yaml</t>
        </is>
      </c>
      <c r="J206" s="5" t="inlineStr">
        <is>
          <t>Respuesta igual a la grabada (ruido declarado: data.token, data.id, Etag)</t>
        </is>
      </c>
      <c r="K206" s="5" t="inlineStr">
        <is>
          <t>Reproducida sin Supabase, igual a la grabada</t>
        </is>
      </c>
      <c r="L206" s="6" t="inlineStr">
        <is>
          <t>Aprobado</t>
        </is>
      </c>
      <c r="M206" s="5" t="inlineStr">
        <is>
          <t>2026-10-26</t>
        </is>
      </c>
      <c r="N206" s="5" t="inlineStr">
        <is>
          <t>03-keploy/evidence/02-replay-con-ruido-50-de-50.txt</t>
        </is>
      </c>
      <c r="O206" s="5" t="inlineStr">
        <is>
          <t>-</t>
        </is>
      </c>
    </row>
    <row r="207">
      <c r="A207" s="5" t="inlineStr">
        <is>
          <t>—</t>
        </is>
      </c>
      <c r="B207" s="5" t="inlineStr">
        <is>
          <t>Transversal (entidades, validadores, seguridad)</t>
        </is>
      </c>
      <c r="C207" s="5" t="inlineStr">
        <is>
          <t>Keploy test-set-0</t>
        </is>
      </c>
      <c r="D207" s="5" t="inlineStr">
        <is>
          <t>KP-get-api-v1-accounts-by-id-14</t>
        </is>
      </c>
      <c r="E207" s="5" t="inlineStr">
        <is>
          <t>get-api-v1-accounts-by-id-14</t>
        </is>
      </c>
      <c r="F207" s="5" t="inlineStr">
        <is>
          <t>Integración (API, mocks de Supabase)</t>
        </is>
      </c>
      <c r="G207" s="5" t="inlineStr">
        <is>
          <t>Regresión</t>
        </is>
      </c>
      <c r="H207" s="5" t="inlineStr">
        <is>
          <t>Keploy (herramienta IA 3)</t>
        </is>
      </c>
      <c r="I207" s="5" t="inlineStr">
        <is>
          <t>03-keploy/evidence/test-set-0-saneado/tests/get-api-v1-accounts-by-id-14.yaml</t>
        </is>
      </c>
      <c r="J207" s="5" t="inlineStr">
        <is>
          <t>Respuesta igual a la grabada (ruido declarado: data.token, data.id, Etag)</t>
        </is>
      </c>
      <c r="K207" s="5" t="inlineStr">
        <is>
          <t>Reproducida sin Supabase, igual a la grabada</t>
        </is>
      </c>
      <c r="L207" s="6" t="inlineStr">
        <is>
          <t>Aprobado</t>
        </is>
      </c>
      <c r="M207" s="5" t="inlineStr">
        <is>
          <t>2026-10-26</t>
        </is>
      </c>
      <c r="N207" s="5" t="inlineStr">
        <is>
          <t>03-keploy/evidence/02-replay-con-ruido-50-de-50.txt</t>
        </is>
      </c>
      <c r="O207" s="5" t="inlineStr">
        <is>
          <t>-</t>
        </is>
      </c>
    </row>
    <row r="208">
      <c r="A208" s="5" t="inlineStr">
        <is>
          <t>—</t>
        </is>
      </c>
      <c r="B208" s="5" t="inlineStr">
        <is>
          <t>Transversal (entidades, validadores, seguridad)</t>
        </is>
      </c>
      <c r="C208" s="5" t="inlineStr">
        <is>
          <t>Keploy test-set-0</t>
        </is>
      </c>
      <c r="D208" s="5" t="inlineStr">
        <is>
          <t>KP-get-api-v1-accounts-by-id-2</t>
        </is>
      </c>
      <c r="E208" s="5" t="inlineStr">
        <is>
          <t>get-api-v1-accounts-by-id-2</t>
        </is>
      </c>
      <c r="F208" s="5" t="inlineStr">
        <is>
          <t>Integración (API, mocks de Supabase)</t>
        </is>
      </c>
      <c r="G208" s="5" t="inlineStr">
        <is>
          <t>Regresión</t>
        </is>
      </c>
      <c r="H208" s="5" t="inlineStr">
        <is>
          <t>Keploy (herramienta IA 3)</t>
        </is>
      </c>
      <c r="I208" s="5" t="inlineStr">
        <is>
          <t>03-keploy/evidence/test-set-0-saneado/tests/get-api-v1-accounts-by-id-2.yaml</t>
        </is>
      </c>
      <c r="J208" s="5" t="inlineStr">
        <is>
          <t>Respuesta igual a la grabada (ruido declarado: data.token, data.id, Etag)</t>
        </is>
      </c>
      <c r="K208" s="5" t="inlineStr">
        <is>
          <t>Reproducida sin Supabase, igual a la grabada</t>
        </is>
      </c>
      <c r="L208" s="6" t="inlineStr">
        <is>
          <t>Aprobado</t>
        </is>
      </c>
      <c r="M208" s="5" t="inlineStr">
        <is>
          <t>2026-10-26</t>
        </is>
      </c>
      <c r="N208" s="5" t="inlineStr">
        <is>
          <t>03-keploy/evidence/02-replay-con-ruido-50-de-50.txt</t>
        </is>
      </c>
      <c r="O208" s="5" t="inlineStr">
        <is>
          <t>-</t>
        </is>
      </c>
    </row>
    <row r="209">
      <c r="A209" s="5" t="inlineStr">
        <is>
          <t>—</t>
        </is>
      </c>
      <c r="B209" s="5" t="inlineStr">
        <is>
          <t>Transversal (entidades, validadores, seguridad)</t>
        </is>
      </c>
      <c r="C209" s="5" t="inlineStr">
        <is>
          <t>Keploy test-set-0</t>
        </is>
      </c>
      <c r="D209" s="5" t="inlineStr">
        <is>
          <t>KP-get-api-v1-accounts-by-id-3</t>
        </is>
      </c>
      <c r="E209" s="5" t="inlineStr">
        <is>
          <t>get-api-v1-accounts-by-id-3</t>
        </is>
      </c>
      <c r="F209" s="5" t="inlineStr">
        <is>
          <t>Integración (API, mocks de Supabase)</t>
        </is>
      </c>
      <c r="G209" s="5" t="inlineStr">
        <is>
          <t>Regresión</t>
        </is>
      </c>
      <c r="H209" s="5" t="inlineStr">
        <is>
          <t>Keploy (herramienta IA 3)</t>
        </is>
      </c>
      <c r="I209" s="5" t="inlineStr">
        <is>
          <t>03-keploy/evidence/test-set-0-saneado/tests/get-api-v1-accounts-by-id-3.yaml</t>
        </is>
      </c>
      <c r="J209" s="5" t="inlineStr">
        <is>
          <t>Respuesta igual a la grabada (ruido declarado: data.token, data.id, Etag)</t>
        </is>
      </c>
      <c r="K209" s="5" t="inlineStr">
        <is>
          <t>Reproducida sin Supabase, igual a la grabada</t>
        </is>
      </c>
      <c r="L209" s="6" t="inlineStr">
        <is>
          <t>Aprobado</t>
        </is>
      </c>
      <c r="M209" s="5" t="inlineStr">
        <is>
          <t>2026-10-26</t>
        </is>
      </c>
      <c r="N209" s="5" t="inlineStr">
        <is>
          <t>03-keploy/evidence/02-replay-con-ruido-50-de-50.txt</t>
        </is>
      </c>
      <c r="O209" s="5" t="inlineStr">
        <is>
          <t>-</t>
        </is>
      </c>
    </row>
    <row r="210">
      <c r="A210" s="5" t="inlineStr">
        <is>
          <t>—</t>
        </is>
      </c>
      <c r="B210" s="5" t="inlineStr">
        <is>
          <t>Transversal (entidades, validadores, seguridad)</t>
        </is>
      </c>
      <c r="C210" s="5" t="inlineStr">
        <is>
          <t>Keploy test-set-0</t>
        </is>
      </c>
      <c r="D210" s="5" t="inlineStr">
        <is>
          <t>KP-get-api-v1-accounts-by-id-4</t>
        </is>
      </c>
      <c r="E210" s="5" t="inlineStr">
        <is>
          <t>get-api-v1-accounts-by-id-4</t>
        </is>
      </c>
      <c r="F210" s="5" t="inlineStr">
        <is>
          <t>Integración (API, mocks de Supabase)</t>
        </is>
      </c>
      <c r="G210" s="5" t="inlineStr">
        <is>
          <t>Regresión</t>
        </is>
      </c>
      <c r="H210" s="5" t="inlineStr">
        <is>
          <t>Keploy (herramienta IA 3)</t>
        </is>
      </c>
      <c r="I210" s="5" t="inlineStr">
        <is>
          <t>03-keploy/evidence/test-set-0-saneado/tests/get-api-v1-accounts-by-id-4.yaml</t>
        </is>
      </c>
      <c r="J210" s="5" t="inlineStr">
        <is>
          <t>Respuesta igual a la grabada (ruido declarado: data.token, data.id, Etag)</t>
        </is>
      </c>
      <c r="K210" s="5" t="inlineStr">
        <is>
          <t>Reproducida sin Supabase, igual a la grabada</t>
        </is>
      </c>
      <c r="L210" s="6" t="inlineStr">
        <is>
          <t>Aprobado</t>
        </is>
      </c>
      <c r="M210" s="5" t="inlineStr">
        <is>
          <t>2026-10-26</t>
        </is>
      </c>
      <c r="N210" s="5" t="inlineStr">
        <is>
          <t>03-keploy/evidence/02-replay-con-ruido-50-de-50.txt</t>
        </is>
      </c>
      <c r="O210" s="5" t="inlineStr">
        <is>
          <t>-</t>
        </is>
      </c>
    </row>
    <row r="211">
      <c r="A211" s="5" t="inlineStr">
        <is>
          <t>—</t>
        </is>
      </c>
      <c r="B211" s="5" t="inlineStr">
        <is>
          <t>Transversal (entidades, validadores, seguridad)</t>
        </is>
      </c>
      <c r="C211" s="5" t="inlineStr">
        <is>
          <t>Keploy test-set-0</t>
        </is>
      </c>
      <c r="D211" s="5" t="inlineStr">
        <is>
          <t>KP-get-api-v1-accounts-by-id-5</t>
        </is>
      </c>
      <c r="E211" s="5" t="inlineStr">
        <is>
          <t>get-api-v1-accounts-by-id-5</t>
        </is>
      </c>
      <c r="F211" s="5" t="inlineStr">
        <is>
          <t>Integración (API, mocks de Supabase)</t>
        </is>
      </c>
      <c r="G211" s="5" t="inlineStr">
        <is>
          <t>Regresión</t>
        </is>
      </c>
      <c r="H211" s="5" t="inlineStr">
        <is>
          <t>Keploy (herramienta IA 3)</t>
        </is>
      </c>
      <c r="I211" s="5" t="inlineStr">
        <is>
          <t>03-keploy/evidence/test-set-0-saneado/tests/get-api-v1-accounts-by-id-5.yaml</t>
        </is>
      </c>
      <c r="J211" s="5" t="inlineStr">
        <is>
          <t>Respuesta igual a la grabada (ruido declarado: data.token, data.id, Etag)</t>
        </is>
      </c>
      <c r="K211" s="5" t="inlineStr">
        <is>
          <t>Reproducida sin Supabase, igual a la grabada</t>
        </is>
      </c>
      <c r="L211" s="6" t="inlineStr">
        <is>
          <t>Aprobado</t>
        </is>
      </c>
      <c r="M211" s="5" t="inlineStr">
        <is>
          <t>2026-10-26</t>
        </is>
      </c>
      <c r="N211" s="5" t="inlineStr">
        <is>
          <t>03-keploy/evidence/02-replay-con-ruido-50-de-50.txt</t>
        </is>
      </c>
      <c r="O211" s="5" t="inlineStr">
        <is>
          <t>-</t>
        </is>
      </c>
    </row>
    <row r="212">
      <c r="A212" s="5" t="inlineStr">
        <is>
          <t>—</t>
        </is>
      </c>
      <c r="B212" s="5" t="inlineStr">
        <is>
          <t>Transversal (entidades, validadores, seguridad)</t>
        </is>
      </c>
      <c r="C212" s="5" t="inlineStr">
        <is>
          <t>Keploy test-set-0</t>
        </is>
      </c>
      <c r="D212" s="5" t="inlineStr">
        <is>
          <t>KP-get-api-v1-accounts-by-id-6</t>
        </is>
      </c>
      <c r="E212" s="5" t="inlineStr">
        <is>
          <t>get-api-v1-accounts-by-id-6</t>
        </is>
      </c>
      <c r="F212" s="5" t="inlineStr">
        <is>
          <t>Integración (API, mocks de Supabase)</t>
        </is>
      </c>
      <c r="G212" s="5" t="inlineStr">
        <is>
          <t>Regresión</t>
        </is>
      </c>
      <c r="H212" s="5" t="inlineStr">
        <is>
          <t>Keploy (herramienta IA 3)</t>
        </is>
      </c>
      <c r="I212" s="5" t="inlineStr">
        <is>
          <t>03-keploy/evidence/test-set-0-saneado/tests/get-api-v1-accounts-by-id-6.yaml</t>
        </is>
      </c>
      <c r="J212" s="5" t="inlineStr">
        <is>
          <t>Respuesta igual a la grabada (ruido declarado: data.token, data.id, Etag)</t>
        </is>
      </c>
      <c r="K212" s="5" t="inlineStr">
        <is>
          <t>Reproducida sin Supabase, igual a la grabada</t>
        </is>
      </c>
      <c r="L212" s="6" t="inlineStr">
        <is>
          <t>Aprobado</t>
        </is>
      </c>
      <c r="M212" s="5" t="inlineStr">
        <is>
          <t>2026-10-26</t>
        </is>
      </c>
      <c r="N212" s="5" t="inlineStr">
        <is>
          <t>03-keploy/evidence/02-replay-con-ruido-50-de-50.txt</t>
        </is>
      </c>
      <c r="O212" s="5" t="inlineStr">
        <is>
          <t>-</t>
        </is>
      </c>
    </row>
    <row r="213">
      <c r="A213" s="5" t="inlineStr">
        <is>
          <t>—</t>
        </is>
      </c>
      <c r="B213" s="5" t="inlineStr">
        <is>
          <t>Transversal (entidades, validadores, seguridad)</t>
        </is>
      </c>
      <c r="C213" s="5" t="inlineStr">
        <is>
          <t>Keploy test-set-0</t>
        </is>
      </c>
      <c r="D213" s="5" t="inlineStr">
        <is>
          <t>KP-get-api-v1-accounts-by-id-7</t>
        </is>
      </c>
      <c r="E213" s="5" t="inlineStr">
        <is>
          <t>get-api-v1-accounts-by-id-7</t>
        </is>
      </c>
      <c r="F213" s="5" t="inlineStr">
        <is>
          <t>Integración (API, mocks de Supabase)</t>
        </is>
      </c>
      <c r="G213" s="5" t="inlineStr">
        <is>
          <t>Regresión</t>
        </is>
      </c>
      <c r="H213" s="5" t="inlineStr">
        <is>
          <t>Keploy (herramienta IA 3)</t>
        </is>
      </c>
      <c r="I213" s="5" t="inlineStr">
        <is>
          <t>03-keploy/evidence/test-set-0-saneado/tests/get-api-v1-accounts-by-id-7.yaml</t>
        </is>
      </c>
      <c r="J213" s="5" t="inlineStr">
        <is>
          <t>Respuesta igual a la grabada (ruido declarado: data.token, data.id, Etag)</t>
        </is>
      </c>
      <c r="K213" s="5" t="inlineStr">
        <is>
          <t>Reproducida sin Supabase, igual a la grabada</t>
        </is>
      </c>
      <c r="L213" s="6" t="inlineStr">
        <is>
          <t>Aprobado</t>
        </is>
      </c>
      <c r="M213" s="5" t="inlineStr">
        <is>
          <t>2026-10-26</t>
        </is>
      </c>
      <c r="N213" s="5" t="inlineStr">
        <is>
          <t>03-keploy/evidence/02-replay-con-ruido-50-de-50.txt</t>
        </is>
      </c>
      <c r="O213" s="5" t="inlineStr">
        <is>
          <t>-</t>
        </is>
      </c>
    </row>
    <row r="214">
      <c r="A214" s="5" t="inlineStr">
        <is>
          <t>—</t>
        </is>
      </c>
      <c r="B214" s="5" t="inlineStr">
        <is>
          <t>Transversal (entidades, validadores, seguridad)</t>
        </is>
      </c>
      <c r="C214" s="5" t="inlineStr">
        <is>
          <t>Keploy test-set-0</t>
        </is>
      </c>
      <c r="D214" s="5" t="inlineStr">
        <is>
          <t>KP-get-api-v1-accounts-by-id-8</t>
        </is>
      </c>
      <c r="E214" s="5" t="inlineStr">
        <is>
          <t>get-api-v1-accounts-by-id-8</t>
        </is>
      </c>
      <c r="F214" s="5" t="inlineStr">
        <is>
          <t>Integración (API, mocks de Supabase)</t>
        </is>
      </c>
      <c r="G214" s="5" t="inlineStr">
        <is>
          <t>Regresión</t>
        </is>
      </c>
      <c r="H214" s="5" t="inlineStr">
        <is>
          <t>Keploy (herramienta IA 3)</t>
        </is>
      </c>
      <c r="I214" s="5" t="inlineStr">
        <is>
          <t>03-keploy/evidence/test-set-0-saneado/tests/get-api-v1-accounts-by-id-8.yaml</t>
        </is>
      </c>
      <c r="J214" s="5" t="inlineStr">
        <is>
          <t>Respuesta igual a la grabada (ruido declarado: data.token, data.id, Etag)</t>
        </is>
      </c>
      <c r="K214" s="5" t="inlineStr">
        <is>
          <t>Reproducida sin Supabase, igual a la grabada</t>
        </is>
      </c>
      <c r="L214" s="6" t="inlineStr">
        <is>
          <t>Aprobado</t>
        </is>
      </c>
      <c r="M214" s="5" t="inlineStr">
        <is>
          <t>2026-10-26</t>
        </is>
      </c>
      <c r="N214" s="5" t="inlineStr">
        <is>
          <t>03-keploy/evidence/02-replay-con-ruido-50-de-50.txt</t>
        </is>
      </c>
      <c r="O214" s="5" t="inlineStr">
        <is>
          <t>-</t>
        </is>
      </c>
    </row>
    <row r="215">
      <c r="A215" s="5" t="inlineStr">
        <is>
          <t>—</t>
        </is>
      </c>
      <c r="B215" s="5" t="inlineStr">
        <is>
          <t>Transversal (entidades, validadores, seguridad)</t>
        </is>
      </c>
      <c r="C215" s="5" t="inlineStr">
        <is>
          <t>Keploy test-set-0</t>
        </is>
      </c>
      <c r="D215" s="5" t="inlineStr">
        <is>
          <t>KP-get-api-v1-accounts-by-id-9</t>
        </is>
      </c>
      <c r="E215" s="5" t="inlineStr">
        <is>
          <t>get-api-v1-accounts-by-id-9</t>
        </is>
      </c>
      <c r="F215" s="5" t="inlineStr">
        <is>
          <t>Integración (API, mocks de Supabase)</t>
        </is>
      </c>
      <c r="G215" s="5" t="inlineStr">
        <is>
          <t>Regresión</t>
        </is>
      </c>
      <c r="H215" s="5" t="inlineStr">
        <is>
          <t>Keploy (herramienta IA 3)</t>
        </is>
      </c>
      <c r="I215" s="5" t="inlineStr">
        <is>
          <t>03-keploy/evidence/test-set-0-saneado/tests/get-api-v1-accounts-by-id-9.yaml</t>
        </is>
      </c>
      <c r="J215" s="5" t="inlineStr">
        <is>
          <t>Respuesta igual a la grabada (ruido declarado: data.token, data.id, Etag)</t>
        </is>
      </c>
      <c r="K215" s="5" t="inlineStr">
        <is>
          <t>Reproducida sin Supabase, igual a la grabada</t>
        </is>
      </c>
      <c r="L215" s="6" t="inlineStr">
        <is>
          <t>Aprobado</t>
        </is>
      </c>
      <c r="M215" s="5" t="inlineStr">
        <is>
          <t>2026-10-26</t>
        </is>
      </c>
      <c r="N215" s="5" t="inlineStr">
        <is>
          <t>03-keploy/evidence/02-replay-con-ruido-50-de-50.txt</t>
        </is>
      </c>
      <c r="O215" s="5" t="inlineStr">
        <is>
          <t>-</t>
        </is>
      </c>
    </row>
    <row r="216">
      <c r="A216" s="5" t="inlineStr">
        <is>
          <t>—</t>
        </is>
      </c>
      <c r="B216" s="5" t="inlineStr">
        <is>
          <t>Transversal (entidades, validadores, seguridad)</t>
        </is>
      </c>
      <c r="C216" s="5" t="inlineStr">
        <is>
          <t>Keploy test-set-0</t>
        </is>
      </c>
      <c r="D216" s="5" t="inlineStr">
        <is>
          <t>KP-get-health-1</t>
        </is>
      </c>
      <c r="E216" s="5" t="inlineStr">
        <is>
          <t>get-health-1</t>
        </is>
      </c>
      <c r="F216" s="5" t="inlineStr">
        <is>
          <t>Integración (API, mocks de Supabase)</t>
        </is>
      </c>
      <c r="G216" s="5" t="inlineStr">
        <is>
          <t>Regresión</t>
        </is>
      </c>
      <c r="H216" s="5" t="inlineStr">
        <is>
          <t>Keploy (herramienta IA 3)</t>
        </is>
      </c>
      <c r="I216" s="5" t="inlineStr">
        <is>
          <t>03-keploy/evidence/test-set-0-saneado/tests/get-health-1.yaml</t>
        </is>
      </c>
      <c r="J216" s="5" t="inlineStr">
        <is>
          <t>Respuesta igual a la grabada (ruido declarado: data.token, data.id, Etag)</t>
        </is>
      </c>
      <c r="K216" s="5" t="inlineStr">
        <is>
          <t>Reproducida sin Supabase, igual a la grabada</t>
        </is>
      </c>
      <c r="L216" s="6" t="inlineStr">
        <is>
          <t>Aprobado</t>
        </is>
      </c>
      <c r="M216" s="5" t="inlineStr">
        <is>
          <t>2026-10-26</t>
        </is>
      </c>
      <c r="N216" s="5" t="inlineStr">
        <is>
          <t>03-keploy/evidence/02-replay-con-ruido-50-de-50.txt</t>
        </is>
      </c>
      <c r="O216" s="5" t="inlineStr">
        <is>
          <t>-</t>
        </is>
      </c>
    </row>
    <row r="217">
      <c r="A217" s="5" t="inlineStr">
        <is>
          <t>—</t>
        </is>
      </c>
      <c r="B217" s="5" t="inlineStr">
        <is>
          <t>Transversal (entidades, validadores, seguridad)</t>
        </is>
      </c>
      <c r="C217" s="5" t="inlineStr">
        <is>
          <t>Keploy test-set-0</t>
        </is>
      </c>
      <c r="D217" s="5" t="inlineStr">
        <is>
          <t>KP-post-api-v1-accounts-1</t>
        </is>
      </c>
      <c r="E217" s="5" t="inlineStr">
        <is>
          <t>post-api-v1-accounts-1</t>
        </is>
      </c>
      <c r="F217" s="5" t="inlineStr">
        <is>
          <t>Integración (API, mocks de Supabase)</t>
        </is>
      </c>
      <c r="G217" s="5" t="inlineStr">
        <is>
          <t>Regresión</t>
        </is>
      </c>
      <c r="H217" s="5" t="inlineStr">
        <is>
          <t>Keploy (herramienta IA 3)</t>
        </is>
      </c>
      <c r="I217" s="5" t="inlineStr">
        <is>
          <t>03-keploy/evidence/test-set-0-saneado/tests/post-api-v1-accounts-1.yaml</t>
        </is>
      </c>
      <c r="J217" s="5" t="inlineStr">
        <is>
          <t>Respuesta igual a la grabada (ruido declarado: data.token, data.id, Etag)</t>
        </is>
      </c>
      <c r="K217" s="5" t="inlineStr">
        <is>
          <t>Reproducida sin Supabase, igual a la grabada</t>
        </is>
      </c>
      <c r="L217" s="6" t="inlineStr">
        <is>
          <t>Aprobado</t>
        </is>
      </c>
      <c r="M217" s="5" t="inlineStr">
        <is>
          <t>2026-10-26</t>
        </is>
      </c>
      <c r="N217" s="5" t="inlineStr">
        <is>
          <t>03-keploy/evidence/02-replay-con-ruido-50-de-50.txt</t>
        </is>
      </c>
      <c r="O217" s="5" t="inlineStr">
        <is>
          <t>-</t>
        </is>
      </c>
    </row>
    <row r="218">
      <c r="A218" s="5" t="inlineStr">
        <is>
          <t>—</t>
        </is>
      </c>
      <c r="B218" s="5" t="inlineStr">
        <is>
          <t>Transversal (entidades, validadores, seguridad)</t>
        </is>
      </c>
      <c r="C218" s="5" t="inlineStr">
        <is>
          <t>Keploy test-set-0</t>
        </is>
      </c>
      <c r="D218" s="5" t="inlineStr">
        <is>
          <t>KP-post-api-v1-accounts-2</t>
        </is>
      </c>
      <c r="E218" s="5" t="inlineStr">
        <is>
          <t>post-api-v1-accounts-2</t>
        </is>
      </c>
      <c r="F218" s="5" t="inlineStr">
        <is>
          <t>Integración (API, mocks de Supabase)</t>
        </is>
      </c>
      <c r="G218" s="5" t="inlineStr">
        <is>
          <t>Regresión</t>
        </is>
      </c>
      <c r="H218" s="5" t="inlineStr">
        <is>
          <t>Keploy (herramienta IA 3)</t>
        </is>
      </c>
      <c r="I218" s="5" t="inlineStr">
        <is>
          <t>03-keploy/evidence/test-set-0-saneado/tests/post-api-v1-accounts-2.yaml</t>
        </is>
      </c>
      <c r="J218" s="5" t="inlineStr">
        <is>
          <t>Respuesta igual a la grabada (ruido declarado: data.token, data.id, Etag)</t>
        </is>
      </c>
      <c r="K218" s="5" t="inlineStr">
        <is>
          <t>Reproducida sin Supabase, igual a la grabada</t>
        </is>
      </c>
      <c r="L218" s="6" t="inlineStr">
        <is>
          <t>Aprobado</t>
        </is>
      </c>
      <c r="M218" s="5" t="inlineStr">
        <is>
          <t>2026-10-26</t>
        </is>
      </c>
      <c r="N218" s="5" t="inlineStr">
        <is>
          <t>03-keploy/evidence/02-replay-con-ruido-50-de-50.txt</t>
        </is>
      </c>
      <c r="O218" s="5" t="inlineStr">
        <is>
          <t>-</t>
        </is>
      </c>
    </row>
    <row r="219">
      <c r="A219" s="5" t="inlineStr">
        <is>
          <t>—</t>
        </is>
      </c>
      <c r="B219" s="5" t="inlineStr">
        <is>
          <t>Transversal (entidades, validadores, seguridad)</t>
        </is>
      </c>
      <c r="C219" s="5" t="inlineStr">
        <is>
          <t>Keploy test-set-0</t>
        </is>
      </c>
      <c r="D219" s="5" t="inlineStr">
        <is>
          <t>KP-post-api-v1-auth-register-1</t>
        </is>
      </c>
      <c r="E219" s="5" t="inlineStr">
        <is>
          <t>post-api-v1-auth-register-1</t>
        </is>
      </c>
      <c r="F219" s="5" t="inlineStr">
        <is>
          <t>Integración (API, mocks de Supabase)</t>
        </is>
      </c>
      <c r="G219" s="5" t="inlineStr">
        <is>
          <t>Regresión</t>
        </is>
      </c>
      <c r="H219" s="5" t="inlineStr">
        <is>
          <t>Keploy (herramienta IA 3)</t>
        </is>
      </c>
      <c r="I219" s="5" t="inlineStr">
        <is>
          <t>03-keploy/evidence/test-set-0-saneado/tests/post-api-v1-auth-register-1.yaml</t>
        </is>
      </c>
      <c r="J219" s="5" t="inlineStr">
        <is>
          <t>Respuesta igual a la grabada (ruido declarado: data.token, data.id, Etag)</t>
        </is>
      </c>
      <c r="K219" s="5" t="inlineStr">
        <is>
          <t>Reproducida sin Supabase, igual a la grabada</t>
        </is>
      </c>
      <c r="L219" s="6" t="inlineStr">
        <is>
          <t>Aprobado</t>
        </is>
      </c>
      <c r="M219" s="5" t="inlineStr">
        <is>
          <t>2026-10-26</t>
        </is>
      </c>
      <c r="N219" s="5" t="inlineStr">
        <is>
          <t>03-keploy/evidence/02-replay-con-ruido-50-de-50.txt</t>
        </is>
      </c>
      <c r="O219" s="5" t="inlineStr">
        <is>
          <t>-</t>
        </is>
      </c>
    </row>
    <row r="220">
      <c r="A220" s="5" t="inlineStr">
        <is>
          <t>—</t>
        </is>
      </c>
      <c r="B220" s="5" t="inlineStr">
        <is>
          <t>Transversal (entidades, validadores, seguridad)</t>
        </is>
      </c>
      <c r="C220" s="5" t="inlineStr">
        <is>
          <t>Keploy test-set-0</t>
        </is>
      </c>
      <c r="D220" s="5" t="inlineStr">
        <is>
          <t>KP-post-api-v1-auth-register-2</t>
        </is>
      </c>
      <c r="E220" s="5" t="inlineStr">
        <is>
          <t>post-api-v1-auth-register-2</t>
        </is>
      </c>
      <c r="F220" s="5" t="inlineStr">
        <is>
          <t>Integración (API, mocks de Supabase)</t>
        </is>
      </c>
      <c r="G220" s="5" t="inlineStr">
        <is>
          <t>Regresión</t>
        </is>
      </c>
      <c r="H220" s="5" t="inlineStr">
        <is>
          <t>Keploy (herramienta IA 3)</t>
        </is>
      </c>
      <c r="I220" s="5" t="inlineStr">
        <is>
          <t>03-keploy/evidence/test-set-0-saneado/tests/post-api-v1-auth-register-2.yaml</t>
        </is>
      </c>
      <c r="J220" s="5" t="inlineStr">
        <is>
          <t>Respuesta igual a la grabada (ruido declarado: data.token, data.id, Etag)</t>
        </is>
      </c>
      <c r="K220" s="5" t="inlineStr">
        <is>
          <t>Reproducida sin Supabase, igual a la grabada</t>
        </is>
      </c>
      <c r="L220" s="6" t="inlineStr">
        <is>
          <t>Aprobado</t>
        </is>
      </c>
      <c r="M220" s="5" t="inlineStr">
        <is>
          <t>2026-10-26</t>
        </is>
      </c>
      <c r="N220" s="5" t="inlineStr">
        <is>
          <t>03-keploy/evidence/02-replay-con-ruido-50-de-50.txt</t>
        </is>
      </c>
      <c r="O220" s="5" t="inlineStr">
        <is>
          <t>-</t>
        </is>
      </c>
    </row>
    <row r="221">
      <c r="A221" s="5" t="inlineStr">
        <is>
          <t>—</t>
        </is>
      </c>
      <c r="B221" s="5" t="inlineStr">
        <is>
          <t>Transversal (entidades, validadores, seguridad)</t>
        </is>
      </c>
      <c r="C221" s="5" t="inlineStr">
        <is>
          <t>Suite automatizada</t>
        </is>
      </c>
      <c r="D221" s="5" t="inlineStr">
        <is>
          <t>VT-bolsillos</t>
        </is>
      </c>
      <c r="E221" s="5" t="inlineStr">
        <is>
          <t>bolsillos.performance.test.ts (8 pruebas)</t>
        </is>
      </c>
      <c r="F221" s="5" t="inlineStr">
        <is>
          <t>Integración (API)</t>
        </is>
      </c>
      <c r="G221" s="5" t="inlineStr">
        <is>
          <t>Rendimiento</t>
        </is>
      </c>
      <c r="H221" s="5" t="inlineStr">
        <is>
          <t>Vitest · performance</t>
        </is>
      </c>
      <c r="I221" s="5" t="inlineStr">
        <is>
          <t>bolsillos.performance.test.ts</t>
        </is>
      </c>
      <c r="J221" s="5" t="inlineStr">
        <is>
          <t>Todas las pruebas del archivo pasan (incluye `it.fails` de defectos abiertos)</t>
        </is>
      </c>
      <c r="K221" s="5" t="inlineStr">
        <is>
          <t>8/8 pasan</t>
        </is>
      </c>
      <c r="L221" s="6" t="inlineStr">
        <is>
          <t>Aprobado</t>
        </is>
      </c>
      <c r="M221" s="5" t="inlineStr">
        <is>
          <t>2026-10-26</t>
        </is>
      </c>
      <c r="N221" s="5" t="inlineStr">
        <is>
          <t>docs/evidencia-final-bolsillos/vitest-performance.json</t>
        </is>
      </c>
      <c r="O221" s="5" t="inlineStr">
        <is>
          <t>-</t>
        </is>
      </c>
    </row>
    <row r="222">
      <c r="A222" s="5" t="inlineStr">
        <is>
          <t>—</t>
        </is>
      </c>
      <c r="B222" s="5" t="inlineStr">
        <is>
          <t>Transversal (entidades, validadores, seguridad)</t>
        </is>
      </c>
      <c r="C222" s="5" t="inlineStr">
        <is>
          <t>Suite automatizada</t>
        </is>
      </c>
      <c r="D222" s="5" t="inlineStr">
        <is>
          <t>VT-pocket</t>
        </is>
      </c>
      <c r="E222" s="5" t="inlineStr">
        <is>
          <t>pocket.performance.test.ts (1 pruebas)</t>
        </is>
      </c>
      <c r="F222" s="5" t="inlineStr">
        <is>
          <t>Integración (API)</t>
        </is>
      </c>
      <c r="G222" s="5" t="inlineStr">
        <is>
          <t>Rendimiento</t>
        </is>
      </c>
      <c r="H222" s="5" t="inlineStr">
        <is>
          <t>Vitest · performance</t>
        </is>
      </c>
      <c r="I222" s="5" t="inlineStr">
        <is>
          <t>pocket.performance.test.ts</t>
        </is>
      </c>
      <c r="J222" s="5" t="inlineStr">
        <is>
          <t>Todas las pruebas del archivo pasan (incluye `it.fails` de defectos abiertos)</t>
        </is>
      </c>
      <c r="K222" s="5" t="inlineStr">
        <is>
          <t>1/1 pasan</t>
        </is>
      </c>
      <c r="L222" s="6" t="inlineStr">
        <is>
          <t>Aprobado</t>
        </is>
      </c>
      <c r="M222" s="5" t="inlineStr">
        <is>
          <t>2026-10-26</t>
        </is>
      </c>
      <c r="N222" s="5" t="inlineStr">
        <is>
          <t>docs/evidencia-final-bolsillos/vitest-performance.json</t>
        </is>
      </c>
      <c r="O222" s="5" t="inlineStr">
        <is>
          <t>-</t>
        </is>
      </c>
    </row>
    <row r="223">
      <c r="A223" s="5" t="inlineStr">
        <is>
          <t>—</t>
        </is>
      </c>
      <c r="B223" s="5" t="inlineStr">
        <is>
          <t>Transversal (entidades, validadores, seguridad)</t>
        </is>
      </c>
      <c r="C223" s="5" t="inlineStr">
        <is>
          <t>Suite automatizada</t>
        </is>
      </c>
      <c r="D223" s="5" t="inlineStr">
        <is>
          <t>VT-GetAccountPockets</t>
        </is>
      </c>
      <c r="E223" s="5" t="inlineStr">
        <is>
          <t>GetAccountPockets.test.ts (4 pruebas)</t>
        </is>
      </c>
      <c r="F223" s="5" t="inlineStr">
        <is>
          <t>Unitaria / Integración</t>
        </is>
      </c>
      <c r="G223" s="5" t="inlineStr">
        <is>
          <t>Funcional (regresión)</t>
        </is>
      </c>
      <c r="H223" s="5" t="inlineStr">
        <is>
          <t>Vitest · regresión + unitarias (AAA, 5 dobles)</t>
        </is>
      </c>
      <c r="I223" s="5" t="inlineStr">
        <is>
          <t>GetAccountPockets.test.ts</t>
        </is>
      </c>
      <c r="J223" s="5" t="inlineStr">
        <is>
          <t>Todas las pruebas del archivo pasan (incluye `it.fails` de defectos abiertos)</t>
        </is>
      </c>
      <c r="K223" s="5" t="inlineStr">
        <is>
          <t>4/4 pasan</t>
        </is>
      </c>
      <c r="L223" s="6" t="inlineStr">
        <is>
          <t>Aprobado</t>
        </is>
      </c>
      <c r="M223" s="5" t="inlineStr">
        <is>
          <t>2026-10-26</t>
        </is>
      </c>
      <c r="N223" s="5" t="inlineStr">
        <is>
          <t>docs/evidencia-final-bolsillos/vitest-regresion.json</t>
        </is>
      </c>
      <c r="O223" s="5" t="inlineStr">
        <is>
          <t>-</t>
        </is>
      </c>
    </row>
    <row r="224">
      <c r="A224" s="5" t="inlineStr">
        <is>
          <t>—</t>
        </is>
      </c>
      <c r="B224" s="5" t="inlineStr">
        <is>
          <t>Transversal (entidades, validadores, seguridad)</t>
        </is>
      </c>
      <c r="C224" s="5" t="inlineStr">
        <is>
          <t>Suite automatizada</t>
        </is>
      </c>
      <c r="D224" s="5" t="inlineStr">
        <is>
          <t>VT-Pocket</t>
        </is>
      </c>
      <c r="E224" s="5" t="inlineStr">
        <is>
          <t>Pocket.entity.test.ts (11 pruebas)</t>
        </is>
      </c>
      <c r="F224" s="5" t="inlineStr">
        <is>
          <t>Unitaria / Integración</t>
        </is>
      </c>
      <c r="G224" s="5" t="inlineStr">
        <is>
          <t>Funcional (regresión)</t>
        </is>
      </c>
      <c r="H224" s="5" t="inlineStr">
        <is>
          <t>Vitest · regresión + unitarias (AAA, 5 dobles)</t>
        </is>
      </c>
      <c r="I224" s="5" t="inlineStr">
        <is>
          <t>Pocket.entity.test.ts</t>
        </is>
      </c>
      <c r="J224" s="5" t="inlineStr">
        <is>
          <t>Todas las pruebas del archivo pasan (incluye `it.fails` de defectos abiertos)</t>
        </is>
      </c>
      <c r="K224" s="5" t="inlineStr">
        <is>
          <t>11/11 pasan</t>
        </is>
      </c>
      <c r="L224" s="6" t="inlineStr">
        <is>
          <t>Aprobado</t>
        </is>
      </c>
      <c r="M224" s="5" t="inlineStr">
        <is>
          <t>2026-10-26</t>
        </is>
      </c>
      <c r="N224" s="5" t="inlineStr">
        <is>
          <t>docs/evidencia-final-bolsillos/vitest-regresion.json</t>
        </is>
      </c>
      <c r="O224" s="5" t="inlineStr">
        <is>
          <t>-</t>
        </is>
      </c>
    </row>
    <row r="225">
      <c r="A225" s="5" t="inlineStr">
        <is>
          <t>—</t>
        </is>
      </c>
      <c r="B225" s="5" t="inlineStr">
        <is>
          <t>Transversal (entidades, validadores, seguridad)</t>
        </is>
      </c>
      <c r="C225" s="5" t="inlineStr">
        <is>
          <t>Suite automatizada</t>
        </is>
      </c>
      <c r="D225" s="5" t="inlineStr">
        <is>
          <t>VT-PocketController</t>
        </is>
      </c>
      <c r="E225" s="5" t="inlineStr">
        <is>
          <t>PocketController.test.ts (9 pruebas)</t>
        </is>
      </c>
      <c r="F225" s="5" t="inlineStr">
        <is>
          <t>Unitaria / Integración</t>
        </is>
      </c>
      <c r="G225" s="5" t="inlineStr">
        <is>
          <t>Funcional (regresión)</t>
        </is>
      </c>
      <c r="H225" s="5" t="inlineStr">
        <is>
          <t>Vitest · regresión + unitarias (AAA, 5 dobles)</t>
        </is>
      </c>
      <c r="I225" s="5" t="inlineStr">
        <is>
          <t>PocketController.test.ts</t>
        </is>
      </c>
      <c r="J225" s="5" t="inlineStr">
        <is>
          <t>Todas las pruebas del archivo pasan (incluye `it.fails` de defectos abiertos)</t>
        </is>
      </c>
      <c r="K225" s="5" t="inlineStr">
        <is>
          <t>9/9 pasan</t>
        </is>
      </c>
      <c r="L225" s="6" t="inlineStr">
        <is>
          <t>Aprobado</t>
        </is>
      </c>
      <c r="M225" s="5" t="inlineStr">
        <is>
          <t>2026-10-26</t>
        </is>
      </c>
      <c r="N225" s="5" t="inlineStr">
        <is>
          <t>docs/evidencia-final-bolsillos/vitest-regresion.json</t>
        </is>
      </c>
      <c r="O225" s="5" t="inlineStr">
        <is>
          <t>-</t>
        </is>
      </c>
    </row>
    <row r="226">
      <c r="A226" s="5" t="inlineStr">
        <is>
          <t>—</t>
        </is>
      </c>
      <c r="B226" s="5" t="inlineStr">
        <is>
          <t>Transversal (entidades, validadores, seguridad)</t>
        </is>
      </c>
      <c r="C226" s="5" t="inlineStr">
        <is>
          <t>Suite automatizada</t>
        </is>
      </c>
      <c r="D226" s="5" t="inlineStr">
        <is>
          <t>VT-SupabasePocketFallback</t>
        </is>
      </c>
      <c r="E226" s="5" t="inlineStr">
        <is>
          <t>SupabasePocketFallback.test.ts (2 pruebas)</t>
        </is>
      </c>
      <c r="F226" s="5" t="inlineStr">
        <is>
          <t>Unitaria / Integración</t>
        </is>
      </c>
      <c r="G226" s="5" t="inlineStr">
        <is>
          <t>Funcional (regresión)</t>
        </is>
      </c>
      <c r="H226" s="5" t="inlineStr">
        <is>
          <t>Vitest · regresión + unitarias (AAA, 5 dobles)</t>
        </is>
      </c>
      <c r="I226" s="5" t="inlineStr">
        <is>
          <t>SupabasePocketFallback.test.ts</t>
        </is>
      </c>
      <c r="J226" s="5" t="inlineStr">
        <is>
          <t>Todas las pruebas del archivo pasan (incluye `it.fails` de defectos abiertos)</t>
        </is>
      </c>
      <c r="K226" s="5" t="inlineStr">
        <is>
          <t>2/2 pasan</t>
        </is>
      </c>
      <c r="L226" s="6" t="inlineStr">
        <is>
          <t>Aprobado</t>
        </is>
      </c>
      <c r="M226" s="5" t="inlineStr">
        <is>
          <t>2026-10-26</t>
        </is>
      </c>
      <c r="N226" s="5" t="inlineStr">
        <is>
          <t>docs/evidencia-final-bolsillos/vitest-regresion.json</t>
        </is>
      </c>
      <c r="O226" s="5" t="inlineStr">
        <is>
          <t>-</t>
        </is>
      </c>
    </row>
    <row r="227">
      <c r="A227" s="5" t="inlineStr">
        <is>
          <t>—</t>
        </is>
      </c>
      <c r="B227" s="5" t="inlineStr">
        <is>
          <t>Transversal (entidades, validadores, seguridad)</t>
        </is>
      </c>
      <c r="C227" s="5" t="inlineStr">
        <is>
          <t>Suite automatizada</t>
        </is>
      </c>
      <c r="D227" s="5" t="inlineStr">
        <is>
          <t>VT-SupabasePocketFallbackMethods</t>
        </is>
      </c>
      <c r="E227" s="5" t="inlineStr">
        <is>
          <t>SupabasePocketFallbackMethods.test.ts (1 pruebas)</t>
        </is>
      </c>
      <c r="F227" s="5" t="inlineStr">
        <is>
          <t>Unitaria / Integración</t>
        </is>
      </c>
      <c r="G227" s="5" t="inlineStr">
        <is>
          <t>Funcional (regresión)</t>
        </is>
      </c>
      <c r="H227" s="5" t="inlineStr">
        <is>
          <t>Vitest · regresión + unitarias (AAA, 5 dobles)</t>
        </is>
      </c>
      <c r="I227" s="5" t="inlineStr">
        <is>
          <t>SupabasePocketFallbackMethods.test.ts</t>
        </is>
      </c>
      <c r="J227" s="5" t="inlineStr">
        <is>
          <t>Todas las pruebas del archivo pasan (incluye `it.fails` de defectos abiertos)</t>
        </is>
      </c>
      <c r="K227" s="5" t="inlineStr">
        <is>
          <t>1/1 pasan</t>
        </is>
      </c>
      <c r="L227" s="6" t="inlineStr">
        <is>
          <t>Aprobado</t>
        </is>
      </c>
      <c r="M227" s="5" t="inlineStr">
        <is>
          <t>2026-10-26</t>
        </is>
      </c>
      <c r="N227" s="5" t="inlineStr">
        <is>
          <t>docs/evidencia-final-bolsillos/vitest-regresion.json</t>
        </is>
      </c>
      <c r="O227" s="5" t="inlineStr">
        <is>
          <t>-</t>
        </is>
      </c>
    </row>
    <row r="228">
      <c r="A228" s="5" t="inlineStr">
        <is>
          <t>—</t>
        </is>
      </c>
      <c r="B228" s="5" t="inlineStr">
        <is>
          <t>Transversal (entidades, validadores, seguridad)</t>
        </is>
      </c>
      <c r="C228" s="5" t="inlineStr">
        <is>
          <t>Suite automatizada</t>
        </is>
      </c>
      <c r="D228" s="5" t="inlineStr">
        <is>
          <t>VT-SupabasePocketRepository</t>
        </is>
      </c>
      <c r="E228" s="5" t="inlineStr">
        <is>
          <t>SupabasePocketRepository.test.ts (22 pruebas)</t>
        </is>
      </c>
      <c r="F228" s="5" t="inlineStr">
        <is>
          <t>Unitaria / Integración</t>
        </is>
      </c>
      <c r="G228" s="5" t="inlineStr">
        <is>
          <t>Funcional (regresión)</t>
        </is>
      </c>
      <c r="H228" s="5" t="inlineStr">
        <is>
          <t>Vitest · regresión + unitarias (AAA, 5 dobles)</t>
        </is>
      </c>
      <c r="I228" s="5" t="inlineStr">
        <is>
          <t>SupabasePocketRepository.test.ts</t>
        </is>
      </c>
      <c r="J228" s="5" t="inlineStr">
        <is>
          <t>Todas las pruebas del archivo pasan (incluye `it.fails` de defectos abiertos)</t>
        </is>
      </c>
      <c r="K228" s="5" t="inlineStr">
        <is>
          <t>22/22 pasan</t>
        </is>
      </c>
      <c r="L228" s="6" t="inlineStr">
        <is>
          <t>Aprobado</t>
        </is>
      </c>
      <c r="M228" s="5" t="inlineStr">
        <is>
          <t>2026-10-26</t>
        </is>
      </c>
      <c r="N228" s="5" t="inlineStr">
        <is>
          <t>docs/evidencia-final-bolsillos/vitest-regresion.json</t>
        </is>
      </c>
      <c r="O228" s="5" t="inlineStr">
        <is>
          <t>-</t>
        </is>
      </c>
    </row>
    <row r="229">
      <c r="A229" s="5" t="inlineStr">
        <is>
          <t>—</t>
        </is>
      </c>
      <c r="B229" s="5" t="inlineStr">
        <is>
          <t>Transversal (entidades, validadores, seguridad)</t>
        </is>
      </c>
      <c r="C229" s="5" t="inlineStr">
        <is>
          <t>Suite automatizada</t>
        </is>
      </c>
      <c r="D229" s="5" t="inlineStr">
        <is>
          <t>VT-account</t>
        </is>
      </c>
      <c r="E229" s="5" t="inlineStr">
        <is>
          <t>account.regression.test.ts (4 pruebas)</t>
        </is>
      </c>
      <c r="F229" s="5" t="inlineStr">
        <is>
          <t>Unitaria / Integración</t>
        </is>
      </c>
      <c r="G229" s="5" t="inlineStr">
        <is>
          <t>Funcional (regresión)</t>
        </is>
      </c>
      <c r="H229" s="5" t="inlineStr">
        <is>
          <t>Vitest · regresión + unitarias (AAA, 5 dobles)</t>
        </is>
      </c>
      <c r="I229" s="5" t="inlineStr">
        <is>
          <t>account.regression.test.ts</t>
        </is>
      </c>
      <c r="J229" s="5" t="inlineStr">
        <is>
          <t>Todas las pruebas del archivo pasan (incluye `it.fails` de defectos abiertos)</t>
        </is>
      </c>
      <c r="K229" s="5" t="inlineStr">
        <is>
          <t>4/4 pasan</t>
        </is>
      </c>
      <c r="L229" s="6" t="inlineStr">
        <is>
          <t>Aprobado</t>
        </is>
      </c>
      <c r="M229" s="5" t="inlineStr">
        <is>
          <t>2026-10-26</t>
        </is>
      </c>
      <c r="N229" s="5" t="inlineStr">
        <is>
          <t>docs/evidencia-final-bolsillos/vitest-regresion.json</t>
        </is>
      </c>
      <c r="O229" s="5" t="inlineStr">
        <is>
          <t>-</t>
        </is>
      </c>
    </row>
    <row r="230">
      <c r="A230" s="5" t="inlineStr">
        <is>
          <t>—</t>
        </is>
      </c>
      <c r="B230" s="5" t="inlineStr">
        <is>
          <t>Transversal (entidades, validadores, seguridad)</t>
        </is>
      </c>
      <c r="C230" s="5" t="inlineStr">
        <is>
          <t>Suite automatizada</t>
        </is>
      </c>
      <c r="D230" s="5" t="inlineStr">
        <is>
          <t>VT-ciclo-de-vida</t>
        </is>
      </c>
      <c r="E230" s="5" t="inlineStr">
        <is>
          <t>ciclo-de-vida.regression.test.ts (2 pruebas)</t>
        </is>
      </c>
      <c r="F230" s="5" t="inlineStr">
        <is>
          <t>Unitaria / Integración</t>
        </is>
      </c>
      <c r="G230" s="5" t="inlineStr">
        <is>
          <t>Funcional (regresión)</t>
        </is>
      </c>
      <c r="H230" s="5" t="inlineStr">
        <is>
          <t>Vitest · regresión + unitarias (AAA, 5 dobles)</t>
        </is>
      </c>
      <c r="I230" s="5" t="inlineStr">
        <is>
          <t>ciclo-de-vida.regression.test.ts</t>
        </is>
      </c>
      <c r="J230" s="5" t="inlineStr">
        <is>
          <t>Todas las pruebas del archivo pasan (incluye `it.fails` de defectos abiertos)</t>
        </is>
      </c>
      <c r="K230" s="5" t="inlineStr">
        <is>
          <t>2/2 pasan</t>
        </is>
      </c>
      <c r="L230" s="6" t="inlineStr">
        <is>
          <t>Aprobado</t>
        </is>
      </c>
      <c r="M230" s="5" t="inlineStr">
        <is>
          <t>2026-10-26</t>
        </is>
      </c>
      <c r="N230" s="5" t="inlineStr">
        <is>
          <t>docs/evidencia-final-bolsillos/vitest-regresion.json</t>
        </is>
      </c>
      <c r="O230" s="5" t="inlineStr">
        <is>
          <t>-</t>
        </is>
      </c>
    </row>
    <row r="231">
      <c r="A231" s="5" t="inlineStr">
        <is>
          <t>—</t>
        </is>
      </c>
      <c r="B231" s="5" t="inlineStr">
        <is>
          <t>Transversal (entidades, validadores, seguridad)</t>
        </is>
      </c>
      <c r="C231" s="5" t="inlineStr">
        <is>
          <t>Suite automatizada</t>
        </is>
      </c>
      <c r="D231" s="5" t="inlineStr">
        <is>
          <t>VT-pocket</t>
        </is>
      </c>
      <c r="E231" s="5" t="inlineStr">
        <is>
          <t>pocket.regression.test.ts (5 pruebas)</t>
        </is>
      </c>
      <c r="F231" s="5" t="inlineStr">
        <is>
          <t>Unitaria / Integración</t>
        </is>
      </c>
      <c r="G231" s="5" t="inlineStr">
        <is>
          <t>Funcional (regresión)</t>
        </is>
      </c>
      <c r="H231" s="5" t="inlineStr">
        <is>
          <t>Vitest · regresión + unitarias (AAA, 5 dobles)</t>
        </is>
      </c>
      <c r="I231" s="5" t="inlineStr">
        <is>
          <t>pocket.regression.test.ts</t>
        </is>
      </c>
      <c r="J231" s="5" t="inlineStr">
        <is>
          <t>Todas las pruebas del archivo pasan (incluye `it.fails` de defectos abiertos)</t>
        </is>
      </c>
      <c r="K231" s="5" t="inlineStr">
        <is>
          <t>5/5 pasan</t>
        </is>
      </c>
      <c r="L231" s="6" t="inlineStr">
        <is>
          <t>Aprobado</t>
        </is>
      </c>
      <c r="M231" s="5" t="inlineStr">
        <is>
          <t>2026-10-26</t>
        </is>
      </c>
      <c r="N231" s="5" t="inlineStr">
        <is>
          <t>docs/evidencia-final-bolsillos/vitest-regresion.json</t>
        </is>
      </c>
      <c r="O231" s="5" t="inlineStr">
        <is>
          <t>-</t>
        </is>
      </c>
    </row>
    <row r="232">
      <c r="A232" s="5" t="inlineStr">
        <is>
          <t>—</t>
        </is>
      </c>
      <c r="B232" s="5" t="inlineStr">
        <is>
          <t>Transversal (entidades, validadores, seguridad)</t>
        </is>
      </c>
      <c r="C232" s="5" t="inlineStr">
        <is>
          <t>Suite automatizada</t>
        </is>
      </c>
      <c r="D232" s="5" t="inlineStr">
        <is>
          <t>VT-autenticacion</t>
        </is>
      </c>
      <c r="E232" s="5" t="inlineStr">
        <is>
          <t>autenticacion.security.test.ts (69 pruebas)</t>
        </is>
      </c>
      <c r="F232" s="5" t="inlineStr">
        <is>
          <t>Integración (API)</t>
        </is>
      </c>
      <c r="G232" s="5" t="inlineStr">
        <is>
          <t>Seguridad</t>
        </is>
      </c>
      <c r="H232" s="5" t="inlineStr">
        <is>
          <t>Vitest · seguridad</t>
        </is>
      </c>
      <c r="I232" s="5" t="inlineStr">
        <is>
          <t>autenticacion.security.test.ts</t>
        </is>
      </c>
      <c r="J232" s="5" t="inlineStr">
        <is>
          <t>Todas las pruebas del archivo pasan (incluye `it.fails` de defectos abiertos)</t>
        </is>
      </c>
      <c r="K232" s="5" t="inlineStr">
        <is>
          <t>69/69 pasan</t>
        </is>
      </c>
      <c r="L232" s="6" t="inlineStr">
        <is>
          <t>Aprobado</t>
        </is>
      </c>
      <c r="M232" s="5" t="inlineStr">
        <is>
          <t>2026-10-26</t>
        </is>
      </c>
      <c r="N232" s="5" t="inlineStr">
        <is>
          <t>docs/evidencia-final-bolsillos/vitest-seguridad.json</t>
        </is>
      </c>
      <c r="O232" s="5" t="inlineStr">
        <is>
          <t>-</t>
        </is>
      </c>
    </row>
    <row r="233">
      <c r="A233" s="5" t="inlineStr">
        <is>
          <t>—</t>
        </is>
      </c>
      <c r="B233" s="5" t="inlineStr">
        <is>
          <t>Transversal (entidades, validadores, seguridad)</t>
        </is>
      </c>
      <c r="C233" s="5" t="inlineStr">
        <is>
          <t>Suite automatizada</t>
        </is>
      </c>
      <c r="D233" s="5" t="inlineStr">
        <is>
          <t>VT-autorizacion</t>
        </is>
      </c>
      <c r="E233" s="5" t="inlineStr">
        <is>
          <t>autorizacion.security.test.ts (15 pruebas)</t>
        </is>
      </c>
      <c r="F233" s="5" t="inlineStr">
        <is>
          <t>Integración (API)</t>
        </is>
      </c>
      <c r="G233" s="5" t="inlineStr">
        <is>
          <t>Seguridad</t>
        </is>
      </c>
      <c r="H233" s="5" t="inlineStr">
        <is>
          <t>Vitest · seguridad</t>
        </is>
      </c>
      <c r="I233" s="5" t="inlineStr">
        <is>
          <t>autorizacion.security.test.ts</t>
        </is>
      </c>
      <c r="J233" s="5" t="inlineStr">
        <is>
          <t>Todas las pruebas del archivo pasan (incluye `it.fails` de defectos abiertos)</t>
        </is>
      </c>
      <c r="K233" s="5" t="inlineStr">
        <is>
          <t>15/15 pasan</t>
        </is>
      </c>
      <c r="L233" s="6" t="inlineStr">
        <is>
          <t>Aprobado</t>
        </is>
      </c>
      <c r="M233" s="5" t="inlineStr">
        <is>
          <t>2026-10-26</t>
        </is>
      </c>
      <c r="N233" s="5" t="inlineStr">
        <is>
          <t>docs/evidencia-final-bolsillos/vitest-seguridad.json</t>
        </is>
      </c>
      <c r="O233" s="5" t="inlineStr">
        <is>
          <t>-</t>
        </is>
      </c>
    </row>
    <row r="234">
      <c r="A234" s="5" t="inlineStr">
        <is>
          <t>—</t>
        </is>
      </c>
      <c r="B234" s="5" t="inlineStr">
        <is>
          <t>Transversal (entidades, validadores, seguridad)</t>
        </is>
      </c>
      <c r="C234" s="5" t="inlineStr">
        <is>
          <t>Suite automatizada</t>
        </is>
      </c>
      <c r="D234" s="5" t="inlineStr">
        <is>
          <t>VT-endurecimiento</t>
        </is>
      </c>
      <c r="E234" s="5" t="inlineStr">
        <is>
          <t>endurecimiento.security.test.ts (17 pruebas)</t>
        </is>
      </c>
      <c r="F234" s="5" t="inlineStr">
        <is>
          <t>Integración (API)</t>
        </is>
      </c>
      <c r="G234" s="5" t="inlineStr">
        <is>
          <t>Seguridad</t>
        </is>
      </c>
      <c r="H234" s="5" t="inlineStr">
        <is>
          <t>Vitest · seguridad</t>
        </is>
      </c>
      <c r="I234" s="5" t="inlineStr">
        <is>
          <t>endurecimiento.security.test.ts</t>
        </is>
      </c>
      <c r="J234" s="5" t="inlineStr">
        <is>
          <t>Todas las pruebas del archivo pasan (incluye `it.fails` de defectos abiertos)</t>
        </is>
      </c>
      <c r="K234" s="5" t="inlineStr">
        <is>
          <t>17/17 pasan</t>
        </is>
      </c>
      <c r="L234" s="6" t="inlineStr">
        <is>
          <t>Aprobado</t>
        </is>
      </c>
      <c r="M234" s="5" t="inlineStr">
        <is>
          <t>2026-10-26</t>
        </is>
      </c>
      <c r="N234" s="5" t="inlineStr">
        <is>
          <t>docs/evidencia-final-bolsillos/vitest-seguridad.json</t>
        </is>
      </c>
      <c r="O234" s="5" t="inlineStr">
        <is>
          <t>-</t>
        </is>
      </c>
    </row>
    <row r="235">
      <c r="A235" s="5" t="inlineStr">
        <is>
          <t>—</t>
        </is>
      </c>
      <c r="B235" s="5" t="inlineStr">
        <is>
          <t>Transversal (entidades, validadores, seguridad)</t>
        </is>
      </c>
      <c r="C235" s="5" t="inlineStr">
        <is>
          <t>Suite automatizada</t>
        </is>
      </c>
      <c r="D235" s="5" t="inlineStr">
        <is>
          <t>VT-entrada</t>
        </is>
      </c>
      <c r="E235" s="5" t="inlineStr">
        <is>
          <t>entrada.security.test.ts (53 pruebas)</t>
        </is>
      </c>
      <c r="F235" s="5" t="inlineStr">
        <is>
          <t>Integración (API)</t>
        </is>
      </c>
      <c r="G235" s="5" t="inlineStr">
        <is>
          <t>Seguridad</t>
        </is>
      </c>
      <c r="H235" s="5" t="inlineStr">
        <is>
          <t>Vitest · seguridad</t>
        </is>
      </c>
      <c r="I235" s="5" t="inlineStr">
        <is>
          <t>entrada.security.test.ts</t>
        </is>
      </c>
      <c r="J235" s="5" t="inlineStr">
        <is>
          <t>Todas las pruebas del archivo pasan (incluye `it.fails` de defectos abiertos)</t>
        </is>
      </c>
      <c r="K235" s="5" t="inlineStr">
        <is>
          <t>53/53 pasan</t>
        </is>
      </c>
      <c r="L235" s="6" t="inlineStr">
        <is>
          <t>Aprobado</t>
        </is>
      </c>
      <c r="M235" s="5" t="inlineStr">
        <is>
          <t>2026-10-26</t>
        </is>
      </c>
      <c r="N235" s="5" t="inlineStr">
        <is>
          <t>docs/evidencia-final-bolsillos/vitest-seguridad.json</t>
        </is>
      </c>
      <c r="O235" s="5" t="inlineStr">
        <is>
          <t>-</t>
        </is>
      </c>
    </row>
    <row r="236">
      <c r="A236" s="5" t="inlineStr">
        <is>
          <t>—</t>
        </is>
      </c>
      <c r="B236" s="5" t="inlineStr">
        <is>
          <t>Transversal (entidades, validadores, seguridad)</t>
        </is>
      </c>
      <c r="C236" s="5" t="inlineStr">
        <is>
          <t>Suite automatizada</t>
        </is>
      </c>
      <c r="D236" s="5" t="inlineStr">
        <is>
          <t>VT-pocket</t>
        </is>
      </c>
      <c r="E236" s="5" t="inlineStr">
        <is>
          <t>pocket.security.test.ts (5 pruebas)</t>
        </is>
      </c>
      <c r="F236" s="5" t="inlineStr">
        <is>
          <t>Integración (API)</t>
        </is>
      </c>
      <c r="G236" s="5" t="inlineStr">
        <is>
          <t>Seguridad</t>
        </is>
      </c>
      <c r="H236" s="5" t="inlineStr">
        <is>
          <t>Vitest · seguridad</t>
        </is>
      </c>
      <c r="I236" s="5" t="inlineStr">
        <is>
          <t>pocket.security.test.ts</t>
        </is>
      </c>
      <c r="J236" s="5" t="inlineStr">
        <is>
          <t>Todas las pruebas del archivo pasan (incluye `it.fails` de defectos abiertos)</t>
        </is>
      </c>
      <c r="K236" s="5" t="inlineStr">
        <is>
          <t>5/5 pasan</t>
        </is>
      </c>
      <c r="L236" s="6" t="inlineStr">
        <is>
          <t>Aprobado</t>
        </is>
      </c>
      <c r="M236" s="5" t="inlineStr">
        <is>
          <t>2026-10-26</t>
        </is>
      </c>
      <c r="N236" s="5" t="inlineStr">
        <is>
          <t>docs/evidencia-final-bolsillos/vitest-seguridad.json</t>
        </is>
      </c>
      <c r="O236" s="5" t="inlineStr">
        <is>
          <t>-</t>
        </is>
      </c>
    </row>
  </sheetData>
  <autoFilter ref="A1:O236"/>
  <dataValidations count="1">
    <dataValidation sqref="L2:L236" showDropDown="0" showInputMessage="0" showErrorMessage="0" allowBlank="0" type="list">
      <formula1>"Aprobado,Fallido,Pendiente,Bloqueado"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cols>
    <col width="12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60" customHeight="1">
      <c r="A1" s="4" t="inlineStr">
        <is>
          <t>ID Requisito</t>
        </is>
      </c>
      <c r="B1" s="4" t="inlineStr">
        <is>
          <t>Funcionalidad</t>
        </is>
      </c>
      <c r="C1" s="4" t="inlineStr">
        <is>
          <t>Cypress + Gherkin (cucumber-preprocessor)</t>
        </is>
      </c>
      <c r="D1" s="4" t="inlineStr">
        <is>
          <t>Keploy (herramienta IA 3)</t>
        </is>
      </c>
      <c r="E1" s="4" t="inlineStr">
        <is>
          <t>Manual (caja negra) + Katalon Recorder</t>
        </is>
      </c>
      <c r="F1" s="4" t="inlineStr">
        <is>
          <t>Postman + Newman (herramienta IA 2)</t>
        </is>
      </c>
      <c r="G1" s="4" t="inlineStr">
        <is>
          <t>Serenity/JS Screenplay + Gherkin</t>
        </is>
      </c>
      <c r="H1" s="4" t="inlineStr">
        <is>
          <t>Stagehand (act/observe/extract)</t>
        </is>
      </c>
      <c r="I1" s="4" t="inlineStr">
        <is>
          <t>Vitest · performance</t>
        </is>
      </c>
      <c r="J1" s="4" t="inlineStr">
        <is>
          <t>Vitest · regresión + unitarias (AAA, 5 dobles)</t>
        </is>
      </c>
      <c r="K1" s="4" t="inlineStr">
        <is>
          <t>Vitest · seguridad</t>
        </is>
      </c>
      <c r="L1" s="4" t="inlineStr">
        <is>
          <t>Total casos</t>
        </is>
      </c>
      <c r="M1" s="4" t="inlineStr">
        <is>
          <t>Aprobados</t>
        </is>
      </c>
      <c r="N1" s="4" t="inlineStr">
        <is>
          <t>Fallidos</t>
        </is>
      </c>
      <c r="O1" s="4" t="inlineStr">
        <is>
          <t>% Aprobado</t>
        </is>
      </c>
      <c r="P1" s="4" t="inlineStr">
        <is>
          <t>Defectos asociados</t>
        </is>
      </c>
    </row>
    <row r="2">
      <c r="A2" s="7" t="inlineStr">
        <is>
          <t>HU-23</t>
        </is>
      </c>
      <c r="B2" s="7" t="inlineStr">
        <is>
          <t>Crear bolsillo</t>
        </is>
      </c>
      <c r="C2" s="7">
        <f>COUNTIFS('Matriz de Trazabilidad'!$B$2:$B$236,$B2,'Matriz de Trazabilidad'!$H$2:$H$236,"Cypress + Gherkin (cucumber-preprocessor)")</f>
        <v/>
      </c>
      <c r="D2" s="7">
        <f>COUNTIFS('Matriz de Trazabilidad'!$B$2:$B$236,$B2,'Matriz de Trazabilidad'!$H$2:$H$236,"Keploy (herramienta IA 3)")</f>
        <v/>
      </c>
      <c r="E2" s="7">
        <f>COUNTIFS('Matriz de Trazabilidad'!$B$2:$B$236,$B2,'Matriz de Trazabilidad'!$H$2:$H$236,"Manual (caja negra) + Katalon Recorder")</f>
        <v/>
      </c>
      <c r="F2" s="7">
        <f>COUNTIFS('Matriz de Trazabilidad'!$B$2:$B$236,$B2,'Matriz de Trazabilidad'!$H$2:$H$236,"Postman + Newman (herramienta IA 2)")</f>
        <v/>
      </c>
      <c r="G2" s="7">
        <f>COUNTIFS('Matriz de Trazabilidad'!$B$2:$B$236,$B2,'Matriz de Trazabilidad'!$H$2:$H$236,"Serenity/JS Screenplay + Gherkin")</f>
        <v/>
      </c>
      <c r="H2" s="7">
        <f>COUNTIFS('Matriz de Trazabilidad'!$B$2:$B$236,$B2,'Matriz de Trazabilidad'!$H$2:$H$236,"Stagehand (act/observe/extract)")</f>
        <v/>
      </c>
      <c r="I2" s="7">
        <f>COUNTIFS('Matriz de Trazabilidad'!$B$2:$B$236,$B2,'Matriz de Trazabilidad'!$H$2:$H$236,"Vitest · performance")</f>
        <v/>
      </c>
      <c r="J2" s="7">
        <f>COUNTIFS('Matriz de Trazabilidad'!$B$2:$B$236,$B2,'Matriz de Trazabilidad'!$H$2:$H$236,"Vitest · regresión + unitarias (AAA, 5 dobles)")</f>
        <v/>
      </c>
      <c r="K2" s="7">
        <f>COUNTIFS('Matriz de Trazabilidad'!$B$2:$B$236,$B2,'Matriz de Trazabilidad'!$H$2:$H$236,"Vitest · seguridad")</f>
        <v/>
      </c>
      <c r="L2" s="7">
        <f>COUNTIFS('Matriz de Trazabilidad'!$B$2:$B$236,$B2)</f>
        <v/>
      </c>
      <c r="M2" s="7">
        <f>COUNTIFS('Matriz de Trazabilidad'!$B$2:$B$236,$B2,'Matriz de Trazabilidad'!$L$2:$L$236,"Aprobado")</f>
        <v/>
      </c>
      <c r="N2" s="7">
        <f>COUNTIFS('Matriz de Trazabilidad'!$B$2:$B$236,$B2,'Matriz de Trazabilidad'!$L$2:$L$236,"Fallido")</f>
        <v/>
      </c>
      <c r="O2" s="8">
        <f>IF(L2=0,0,M2/L2)</f>
        <v/>
      </c>
      <c r="P2" s="7">
        <f>COUNTIFS('Matriz de Trazabilidad'!$B$2:$B$236,$B2,'Matriz de Trazabilidad'!$O$2:$O$236,"&lt;&gt;-")</f>
        <v/>
      </c>
    </row>
    <row r="3">
      <c r="A3" s="7" t="inlineStr">
        <is>
          <t>HU-24</t>
        </is>
      </c>
      <c r="B3" s="7" t="inlineStr">
        <is>
          <t>Consultar bolsillos</t>
        </is>
      </c>
      <c r="C3" s="7">
        <f>COUNTIFS('Matriz de Trazabilidad'!$B$2:$B$236,$B3,'Matriz de Trazabilidad'!$H$2:$H$236,"Cypress + Gherkin (cucumber-preprocessor)")</f>
        <v/>
      </c>
      <c r="D3" s="7">
        <f>COUNTIFS('Matriz de Trazabilidad'!$B$2:$B$236,$B3,'Matriz de Trazabilidad'!$H$2:$H$236,"Keploy (herramienta IA 3)")</f>
        <v/>
      </c>
      <c r="E3" s="7">
        <f>COUNTIFS('Matriz de Trazabilidad'!$B$2:$B$236,$B3,'Matriz de Trazabilidad'!$H$2:$H$236,"Manual (caja negra) + Katalon Recorder")</f>
        <v/>
      </c>
      <c r="F3" s="7">
        <f>COUNTIFS('Matriz de Trazabilidad'!$B$2:$B$236,$B3,'Matriz de Trazabilidad'!$H$2:$H$236,"Postman + Newman (herramienta IA 2)")</f>
        <v/>
      </c>
      <c r="G3" s="7">
        <f>COUNTIFS('Matriz de Trazabilidad'!$B$2:$B$236,$B3,'Matriz de Trazabilidad'!$H$2:$H$236,"Serenity/JS Screenplay + Gherkin")</f>
        <v/>
      </c>
      <c r="H3" s="7">
        <f>COUNTIFS('Matriz de Trazabilidad'!$B$2:$B$236,$B3,'Matriz de Trazabilidad'!$H$2:$H$236,"Stagehand (act/observe/extract)")</f>
        <v/>
      </c>
      <c r="I3" s="7">
        <f>COUNTIFS('Matriz de Trazabilidad'!$B$2:$B$236,$B3,'Matriz de Trazabilidad'!$H$2:$H$236,"Vitest · performance")</f>
        <v/>
      </c>
      <c r="J3" s="7">
        <f>COUNTIFS('Matriz de Trazabilidad'!$B$2:$B$236,$B3,'Matriz de Trazabilidad'!$H$2:$H$236,"Vitest · regresión + unitarias (AAA, 5 dobles)")</f>
        <v/>
      </c>
      <c r="K3" s="7">
        <f>COUNTIFS('Matriz de Trazabilidad'!$B$2:$B$236,$B3,'Matriz de Trazabilidad'!$H$2:$H$236,"Vitest · seguridad")</f>
        <v/>
      </c>
      <c r="L3" s="7">
        <f>COUNTIFS('Matriz de Trazabilidad'!$B$2:$B$236,$B3)</f>
        <v/>
      </c>
      <c r="M3" s="7">
        <f>COUNTIFS('Matriz de Trazabilidad'!$B$2:$B$236,$B3,'Matriz de Trazabilidad'!$L$2:$L$236,"Aprobado")</f>
        <v/>
      </c>
      <c r="N3" s="7">
        <f>COUNTIFS('Matriz de Trazabilidad'!$B$2:$B$236,$B3,'Matriz de Trazabilidad'!$L$2:$L$236,"Fallido")</f>
        <v/>
      </c>
      <c r="O3" s="8">
        <f>IF(L3=0,0,M3/L3)</f>
        <v/>
      </c>
      <c r="P3" s="7">
        <f>COUNTIFS('Matriz de Trazabilidad'!$B$2:$B$236,$B3,'Matriz de Trazabilidad'!$O$2:$O$236,"&lt;&gt;-")</f>
        <v/>
      </c>
    </row>
    <row r="4">
      <c r="A4" s="7" t="inlineStr">
        <is>
          <t>HU-24</t>
        </is>
      </c>
      <c r="B4" s="7" t="inlineStr">
        <is>
          <t>Editar bolsillo</t>
        </is>
      </c>
      <c r="C4" s="7">
        <f>COUNTIFS('Matriz de Trazabilidad'!$B$2:$B$236,$B4,'Matriz de Trazabilidad'!$H$2:$H$236,"Cypress + Gherkin (cucumber-preprocessor)")</f>
        <v/>
      </c>
      <c r="D4" s="7">
        <f>COUNTIFS('Matriz de Trazabilidad'!$B$2:$B$236,$B4,'Matriz de Trazabilidad'!$H$2:$H$236,"Keploy (herramienta IA 3)")</f>
        <v/>
      </c>
      <c r="E4" s="7">
        <f>COUNTIFS('Matriz de Trazabilidad'!$B$2:$B$236,$B4,'Matriz de Trazabilidad'!$H$2:$H$236,"Manual (caja negra) + Katalon Recorder")</f>
        <v/>
      </c>
      <c r="F4" s="7">
        <f>COUNTIFS('Matriz de Trazabilidad'!$B$2:$B$236,$B4,'Matriz de Trazabilidad'!$H$2:$H$236,"Postman + Newman (herramienta IA 2)")</f>
        <v/>
      </c>
      <c r="G4" s="7">
        <f>COUNTIFS('Matriz de Trazabilidad'!$B$2:$B$236,$B4,'Matriz de Trazabilidad'!$H$2:$H$236,"Serenity/JS Screenplay + Gherkin")</f>
        <v/>
      </c>
      <c r="H4" s="7">
        <f>COUNTIFS('Matriz de Trazabilidad'!$B$2:$B$236,$B4,'Matriz de Trazabilidad'!$H$2:$H$236,"Stagehand (act/observe/extract)")</f>
        <v/>
      </c>
      <c r="I4" s="7">
        <f>COUNTIFS('Matriz de Trazabilidad'!$B$2:$B$236,$B4,'Matriz de Trazabilidad'!$H$2:$H$236,"Vitest · performance")</f>
        <v/>
      </c>
      <c r="J4" s="7">
        <f>COUNTIFS('Matriz de Trazabilidad'!$B$2:$B$236,$B4,'Matriz de Trazabilidad'!$H$2:$H$236,"Vitest · regresión + unitarias (AAA, 5 dobles)")</f>
        <v/>
      </c>
      <c r="K4" s="7">
        <f>COUNTIFS('Matriz de Trazabilidad'!$B$2:$B$236,$B4,'Matriz de Trazabilidad'!$H$2:$H$236,"Vitest · seguridad")</f>
        <v/>
      </c>
      <c r="L4" s="7">
        <f>COUNTIFS('Matriz de Trazabilidad'!$B$2:$B$236,$B4)</f>
        <v/>
      </c>
      <c r="M4" s="7">
        <f>COUNTIFS('Matriz de Trazabilidad'!$B$2:$B$236,$B4,'Matriz de Trazabilidad'!$L$2:$L$236,"Aprobado")</f>
        <v/>
      </c>
      <c r="N4" s="7">
        <f>COUNTIFS('Matriz de Trazabilidad'!$B$2:$B$236,$B4,'Matriz de Trazabilidad'!$L$2:$L$236,"Fallido")</f>
        <v/>
      </c>
      <c r="O4" s="8">
        <f>IF(L4=0,0,M4/L4)</f>
        <v/>
      </c>
      <c r="P4" s="7">
        <f>COUNTIFS('Matriz de Trazabilidad'!$B$2:$B$236,$B4,'Matriz de Trazabilidad'!$O$2:$O$236,"&lt;&gt;-")</f>
        <v/>
      </c>
    </row>
    <row r="5">
      <c r="A5" s="7" t="inlineStr">
        <is>
          <t>HU-25</t>
        </is>
      </c>
      <c r="B5" s="7" t="inlineStr">
        <is>
          <t>Eliminar bolsillo</t>
        </is>
      </c>
      <c r="C5" s="7">
        <f>COUNTIFS('Matriz de Trazabilidad'!$B$2:$B$236,$B5,'Matriz de Trazabilidad'!$H$2:$H$236,"Cypress + Gherkin (cucumber-preprocessor)")</f>
        <v/>
      </c>
      <c r="D5" s="7">
        <f>COUNTIFS('Matriz de Trazabilidad'!$B$2:$B$236,$B5,'Matriz de Trazabilidad'!$H$2:$H$236,"Keploy (herramienta IA 3)")</f>
        <v/>
      </c>
      <c r="E5" s="7">
        <f>COUNTIFS('Matriz de Trazabilidad'!$B$2:$B$236,$B5,'Matriz de Trazabilidad'!$H$2:$H$236,"Manual (caja negra) + Katalon Recorder")</f>
        <v/>
      </c>
      <c r="F5" s="7">
        <f>COUNTIFS('Matriz de Trazabilidad'!$B$2:$B$236,$B5,'Matriz de Trazabilidad'!$H$2:$H$236,"Postman + Newman (herramienta IA 2)")</f>
        <v/>
      </c>
      <c r="G5" s="7">
        <f>COUNTIFS('Matriz de Trazabilidad'!$B$2:$B$236,$B5,'Matriz de Trazabilidad'!$H$2:$H$236,"Serenity/JS Screenplay + Gherkin")</f>
        <v/>
      </c>
      <c r="H5" s="7">
        <f>COUNTIFS('Matriz de Trazabilidad'!$B$2:$B$236,$B5,'Matriz de Trazabilidad'!$H$2:$H$236,"Stagehand (act/observe/extract)")</f>
        <v/>
      </c>
      <c r="I5" s="7">
        <f>COUNTIFS('Matriz de Trazabilidad'!$B$2:$B$236,$B5,'Matriz de Trazabilidad'!$H$2:$H$236,"Vitest · performance")</f>
        <v/>
      </c>
      <c r="J5" s="7">
        <f>COUNTIFS('Matriz de Trazabilidad'!$B$2:$B$236,$B5,'Matriz de Trazabilidad'!$H$2:$H$236,"Vitest · regresión + unitarias (AAA, 5 dobles)")</f>
        <v/>
      </c>
      <c r="K5" s="7">
        <f>COUNTIFS('Matriz de Trazabilidad'!$B$2:$B$236,$B5,'Matriz de Trazabilidad'!$H$2:$H$236,"Vitest · seguridad")</f>
        <v/>
      </c>
      <c r="L5" s="7">
        <f>COUNTIFS('Matriz de Trazabilidad'!$B$2:$B$236,$B5)</f>
        <v/>
      </c>
      <c r="M5" s="7">
        <f>COUNTIFS('Matriz de Trazabilidad'!$B$2:$B$236,$B5,'Matriz de Trazabilidad'!$L$2:$L$236,"Aprobado")</f>
        <v/>
      </c>
      <c r="N5" s="7">
        <f>COUNTIFS('Matriz de Trazabilidad'!$B$2:$B$236,$B5,'Matriz de Trazabilidad'!$L$2:$L$236,"Fallido")</f>
        <v/>
      </c>
      <c r="O5" s="8">
        <f>IF(L5=0,0,M5/L5)</f>
        <v/>
      </c>
      <c r="P5" s="7">
        <f>COUNTIFS('Matriz de Trazabilidad'!$B$2:$B$236,$B5,'Matriz de Trazabilidad'!$O$2:$O$236,"&lt;&gt;-")</f>
        <v/>
      </c>
    </row>
    <row r="6">
      <c r="A6" s="7" t="inlineStr">
        <is>
          <t>HU-26</t>
        </is>
      </c>
      <c r="B6" s="7" t="inlineStr">
        <is>
          <t>Transferir entre bolsillos</t>
        </is>
      </c>
      <c r="C6" s="7">
        <f>COUNTIFS('Matriz de Trazabilidad'!$B$2:$B$236,$B6,'Matriz de Trazabilidad'!$H$2:$H$236,"Cypress + Gherkin (cucumber-preprocessor)")</f>
        <v/>
      </c>
      <c r="D6" s="7">
        <f>COUNTIFS('Matriz de Trazabilidad'!$B$2:$B$236,$B6,'Matriz de Trazabilidad'!$H$2:$H$236,"Keploy (herramienta IA 3)")</f>
        <v/>
      </c>
      <c r="E6" s="7">
        <f>COUNTIFS('Matriz de Trazabilidad'!$B$2:$B$236,$B6,'Matriz de Trazabilidad'!$H$2:$H$236,"Manual (caja negra) + Katalon Recorder")</f>
        <v/>
      </c>
      <c r="F6" s="7">
        <f>COUNTIFS('Matriz de Trazabilidad'!$B$2:$B$236,$B6,'Matriz de Trazabilidad'!$H$2:$H$236,"Postman + Newman (herramienta IA 2)")</f>
        <v/>
      </c>
      <c r="G6" s="7">
        <f>COUNTIFS('Matriz de Trazabilidad'!$B$2:$B$236,$B6,'Matriz de Trazabilidad'!$H$2:$H$236,"Serenity/JS Screenplay + Gherkin")</f>
        <v/>
      </c>
      <c r="H6" s="7">
        <f>COUNTIFS('Matriz de Trazabilidad'!$B$2:$B$236,$B6,'Matriz de Trazabilidad'!$H$2:$H$236,"Stagehand (act/observe/extract)")</f>
        <v/>
      </c>
      <c r="I6" s="7">
        <f>COUNTIFS('Matriz de Trazabilidad'!$B$2:$B$236,$B6,'Matriz de Trazabilidad'!$H$2:$H$236,"Vitest · performance")</f>
        <v/>
      </c>
      <c r="J6" s="7">
        <f>COUNTIFS('Matriz de Trazabilidad'!$B$2:$B$236,$B6,'Matriz de Trazabilidad'!$H$2:$H$236,"Vitest · regresión + unitarias (AAA, 5 dobles)")</f>
        <v/>
      </c>
      <c r="K6" s="7">
        <f>COUNTIFS('Matriz de Trazabilidad'!$B$2:$B$236,$B6,'Matriz de Trazabilidad'!$H$2:$H$236,"Vitest · seguridad")</f>
        <v/>
      </c>
      <c r="L6" s="7">
        <f>COUNTIFS('Matriz de Trazabilidad'!$B$2:$B$236,$B6)</f>
        <v/>
      </c>
      <c r="M6" s="7">
        <f>COUNTIFS('Matriz de Trazabilidad'!$B$2:$B$236,$B6,'Matriz de Trazabilidad'!$L$2:$L$236,"Aprobado")</f>
        <v/>
      </c>
      <c r="N6" s="7">
        <f>COUNTIFS('Matriz de Trazabilidad'!$B$2:$B$236,$B6,'Matriz de Trazabilidad'!$L$2:$L$236,"Fallido")</f>
        <v/>
      </c>
      <c r="O6" s="8">
        <f>IF(L6=0,0,M6/L6)</f>
        <v/>
      </c>
      <c r="P6" s="7">
        <f>COUNTIFS('Matriz de Trazabilidad'!$B$2:$B$236,$B6,'Matriz de Trazabilidad'!$O$2:$O$236,"&lt;&gt;-")</f>
        <v/>
      </c>
    </row>
    <row r="7">
      <c r="A7" s="7" t="inlineStr">
        <is>
          <t>EXTRA</t>
        </is>
      </c>
      <c r="B7" s="7" t="inlineStr">
        <is>
          <t>Depositar dinero</t>
        </is>
      </c>
      <c r="C7" s="7">
        <f>COUNTIFS('Matriz de Trazabilidad'!$B$2:$B$236,$B7,'Matriz de Trazabilidad'!$H$2:$H$236,"Cypress + Gherkin (cucumber-preprocessor)")</f>
        <v/>
      </c>
      <c r="D7" s="7">
        <f>COUNTIFS('Matriz de Trazabilidad'!$B$2:$B$236,$B7,'Matriz de Trazabilidad'!$H$2:$H$236,"Keploy (herramienta IA 3)")</f>
        <v/>
      </c>
      <c r="E7" s="7">
        <f>COUNTIFS('Matriz de Trazabilidad'!$B$2:$B$236,$B7,'Matriz de Trazabilidad'!$H$2:$H$236,"Manual (caja negra) + Katalon Recorder")</f>
        <v/>
      </c>
      <c r="F7" s="7">
        <f>COUNTIFS('Matriz de Trazabilidad'!$B$2:$B$236,$B7,'Matriz de Trazabilidad'!$H$2:$H$236,"Postman + Newman (herramienta IA 2)")</f>
        <v/>
      </c>
      <c r="G7" s="7">
        <f>COUNTIFS('Matriz de Trazabilidad'!$B$2:$B$236,$B7,'Matriz de Trazabilidad'!$H$2:$H$236,"Serenity/JS Screenplay + Gherkin")</f>
        <v/>
      </c>
      <c r="H7" s="7">
        <f>COUNTIFS('Matriz de Trazabilidad'!$B$2:$B$236,$B7,'Matriz de Trazabilidad'!$H$2:$H$236,"Stagehand (act/observe/extract)")</f>
        <v/>
      </c>
      <c r="I7" s="7">
        <f>COUNTIFS('Matriz de Trazabilidad'!$B$2:$B$236,$B7,'Matriz de Trazabilidad'!$H$2:$H$236,"Vitest · performance")</f>
        <v/>
      </c>
      <c r="J7" s="7">
        <f>COUNTIFS('Matriz de Trazabilidad'!$B$2:$B$236,$B7,'Matriz de Trazabilidad'!$H$2:$H$236,"Vitest · regresión + unitarias (AAA, 5 dobles)")</f>
        <v/>
      </c>
      <c r="K7" s="7">
        <f>COUNTIFS('Matriz de Trazabilidad'!$B$2:$B$236,$B7,'Matriz de Trazabilidad'!$H$2:$H$236,"Vitest · seguridad")</f>
        <v/>
      </c>
      <c r="L7" s="7">
        <f>COUNTIFS('Matriz de Trazabilidad'!$B$2:$B$236,$B7)</f>
        <v/>
      </c>
      <c r="M7" s="7">
        <f>COUNTIFS('Matriz de Trazabilidad'!$B$2:$B$236,$B7,'Matriz de Trazabilidad'!$L$2:$L$236,"Aprobado")</f>
        <v/>
      </c>
      <c r="N7" s="7">
        <f>COUNTIFS('Matriz de Trazabilidad'!$B$2:$B$236,$B7,'Matriz de Trazabilidad'!$L$2:$L$236,"Fallido")</f>
        <v/>
      </c>
      <c r="O7" s="8">
        <f>IF(L7=0,0,M7/L7)</f>
        <v/>
      </c>
      <c r="P7" s="7">
        <f>COUNTIFS('Matriz de Trazabilidad'!$B$2:$B$236,$B7,'Matriz de Trazabilidad'!$O$2:$O$236,"&lt;&gt;-")</f>
        <v/>
      </c>
    </row>
    <row r="8">
      <c r="A8" s="7" t="inlineStr">
        <is>
          <t>—</t>
        </is>
      </c>
      <c r="B8" s="7" t="inlineStr">
        <is>
          <t>Transversal (entidades, validadores, seguridad)</t>
        </is>
      </c>
      <c r="C8" s="7">
        <f>COUNTIFS('Matriz de Trazabilidad'!$B$2:$B$236,$B8,'Matriz de Trazabilidad'!$H$2:$H$236,"Cypress + Gherkin (cucumber-preprocessor)")</f>
        <v/>
      </c>
      <c r="D8" s="7">
        <f>COUNTIFS('Matriz de Trazabilidad'!$B$2:$B$236,$B8,'Matriz de Trazabilidad'!$H$2:$H$236,"Keploy (herramienta IA 3)")</f>
        <v/>
      </c>
      <c r="E8" s="7">
        <f>COUNTIFS('Matriz de Trazabilidad'!$B$2:$B$236,$B8,'Matriz de Trazabilidad'!$H$2:$H$236,"Manual (caja negra) + Katalon Recorder")</f>
        <v/>
      </c>
      <c r="F8" s="7">
        <f>COUNTIFS('Matriz de Trazabilidad'!$B$2:$B$236,$B8,'Matriz de Trazabilidad'!$H$2:$H$236,"Postman + Newman (herramienta IA 2)")</f>
        <v/>
      </c>
      <c r="G8" s="7">
        <f>COUNTIFS('Matriz de Trazabilidad'!$B$2:$B$236,$B8,'Matriz de Trazabilidad'!$H$2:$H$236,"Serenity/JS Screenplay + Gherkin")</f>
        <v/>
      </c>
      <c r="H8" s="7">
        <f>COUNTIFS('Matriz de Trazabilidad'!$B$2:$B$236,$B8,'Matriz de Trazabilidad'!$H$2:$H$236,"Stagehand (act/observe/extract)")</f>
        <v/>
      </c>
      <c r="I8" s="7">
        <f>COUNTIFS('Matriz de Trazabilidad'!$B$2:$B$236,$B8,'Matriz de Trazabilidad'!$H$2:$H$236,"Vitest · performance")</f>
        <v/>
      </c>
      <c r="J8" s="7">
        <f>COUNTIFS('Matriz de Trazabilidad'!$B$2:$B$236,$B8,'Matriz de Trazabilidad'!$H$2:$H$236,"Vitest · regresión + unitarias (AAA, 5 dobles)")</f>
        <v/>
      </c>
      <c r="K8" s="7">
        <f>COUNTIFS('Matriz de Trazabilidad'!$B$2:$B$236,$B8,'Matriz de Trazabilidad'!$H$2:$H$236,"Vitest · seguridad")</f>
        <v/>
      </c>
      <c r="L8" s="7">
        <f>COUNTIFS('Matriz de Trazabilidad'!$B$2:$B$236,$B8)</f>
        <v/>
      </c>
      <c r="M8" s="7">
        <f>COUNTIFS('Matriz de Trazabilidad'!$B$2:$B$236,$B8,'Matriz de Trazabilidad'!$L$2:$L$236,"Aprobado")</f>
        <v/>
      </c>
      <c r="N8" s="7">
        <f>COUNTIFS('Matriz de Trazabilidad'!$B$2:$B$236,$B8,'Matriz de Trazabilidad'!$L$2:$L$236,"Fallido")</f>
        <v/>
      </c>
      <c r="O8" s="8">
        <f>IF(L8=0,0,M8/L8)</f>
        <v/>
      </c>
      <c r="P8" s="7">
        <f>COUNTIFS('Matriz de Trazabilidad'!$B$2:$B$236,$B8,'Matriz de Trazabilidad'!$O$2:$O$236,"&lt;&gt;-")</f>
        <v/>
      </c>
    </row>
    <row r="9">
      <c r="A9" s="9" t="n"/>
      <c r="B9" s="9" t="inlineStr">
        <is>
          <t>TOTAL</t>
        </is>
      </c>
      <c r="C9" s="9">
        <f>SUM(C2:C8)</f>
        <v/>
      </c>
      <c r="D9" s="9">
        <f>SUM(D2:D8)</f>
        <v/>
      </c>
      <c r="E9" s="9">
        <f>SUM(E2:E8)</f>
        <v/>
      </c>
      <c r="F9" s="9">
        <f>SUM(F2:F8)</f>
        <v/>
      </c>
      <c r="G9" s="9">
        <f>SUM(G2:G8)</f>
        <v/>
      </c>
      <c r="H9" s="9">
        <f>SUM(H2:H8)</f>
        <v/>
      </c>
      <c r="I9" s="9">
        <f>SUM(I2:I8)</f>
        <v/>
      </c>
      <c r="J9" s="9">
        <f>SUM(J2:J8)</f>
        <v/>
      </c>
      <c r="K9" s="9">
        <f>SUM(K2:K8)</f>
        <v/>
      </c>
      <c r="L9" s="9">
        <f>SUM(L2:L8)</f>
        <v/>
      </c>
      <c r="M9" s="9">
        <f>SUM(M2:M8)</f>
        <v/>
      </c>
      <c r="N9" s="9">
        <f>SUM(N2:N8)</f>
        <v/>
      </c>
      <c r="O9" s="10">
        <f>IF(L9=0,0,M9/L9)</f>
        <v/>
      </c>
      <c r="P9" s="9">
        <f>SUM(P2:P8)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18" customWidth="1" min="1" max="1"/>
    <col width="46" customWidth="1" min="2" max="2"/>
    <col width="11" customWidth="1" min="3" max="3"/>
    <col width="10" customWidth="1" min="4" max="4"/>
    <col width="28" customWidth="1" min="5" max="5"/>
    <col width="16" customWidth="1" min="6" max="6"/>
    <col width="46" customWidth="1" min="7" max="7"/>
    <col width="10" customWidth="1" min="8" max="8"/>
    <col width="30" customWidth="1" min="9" max="9"/>
  </cols>
  <sheetData>
    <row r="1">
      <c r="A1" s="11" t="inlineStr">
        <is>
          <t>ID Defecto</t>
        </is>
      </c>
      <c r="B1" s="11" t="inlineStr">
        <is>
          <t>Descripción</t>
        </is>
      </c>
      <c r="C1" s="11" t="inlineStr">
        <is>
          <t>Requisito</t>
        </is>
      </c>
      <c r="D1" s="11" t="inlineStr">
        <is>
          <t>Severidad</t>
        </is>
      </c>
      <c r="E1" s="11" t="inlineStr">
        <is>
          <t>Detectado por (caso)</t>
        </is>
      </c>
      <c r="F1" s="11" t="inlineStr">
        <is>
          <t>Estado</t>
        </is>
      </c>
      <c r="G1" s="11" t="inlineStr">
        <is>
          <t>Corrección</t>
        </is>
      </c>
      <c r="H1" s="11" t="inlineStr">
        <is>
          <t>Commit</t>
        </is>
      </c>
      <c r="I1" s="11" t="inlineStr">
        <is>
          <t>Re-prueba</t>
        </is>
      </c>
    </row>
    <row r="2">
      <c r="A2" s="5" t="inlineStr">
        <is>
          <t>DEF-001 (D-01/D-03)</t>
        </is>
      </c>
      <c r="B2" s="5" t="inlineStr">
        <is>
          <t>Se crea un bolsillo con nombre de solo espacios y el saldo ya se descontó</t>
        </is>
      </c>
      <c r="C2" s="5" t="inlineStr">
        <is>
          <t>HU-23</t>
        </is>
      </c>
      <c r="D2" s="5" t="inlineStr">
        <is>
          <t>Media</t>
        </is>
      </c>
      <c r="E2" s="5" t="inlineStr">
        <is>
          <t>TC-110 (Katalon), RG-CR-D03</t>
        </is>
      </c>
      <c r="F2" s="5" t="inlineStr">
        <is>
          <t>Corregido</t>
        </is>
      </c>
      <c r="G2" s="5" t="inlineStr">
        <is>
          <t>R-07: CreatePocket valida el nombre tras trim; handleCreate avisa "Falta información"</t>
        </is>
      </c>
      <c r="H2" s="5" t="inlineStr">
        <is>
          <t>b366dbf</t>
        </is>
      </c>
      <c r="I2" s="5" t="inlineStr">
        <is>
          <t>TC-110 aprobado (52/52); CB-04 Postman</t>
        </is>
      </c>
    </row>
    <row r="3">
      <c r="A3" s="5" t="inlineStr">
        <is>
          <t>DEF-002</t>
        </is>
      </c>
      <c r="B3" s="5" t="inlineStr">
        <is>
          <t>Consulta con varios bolsillos (registrado como Fallido en la matriz original)</t>
        </is>
      </c>
      <c r="C3" s="5" t="inlineStr">
        <is>
          <t>HU-24</t>
        </is>
      </c>
      <c r="D3" s="5" t="inlineStr">
        <is>
          <t>Baja</t>
        </is>
      </c>
      <c r="E3" s="5" t="inlineStr">
        <is>
          <t>TC-113</t>
        </is>
      </c>
      <c r="F3" s="5" t="inlineStr">
        <is>
          <t>No reproducido</t>
        </is>
      </c>
      <c r="G3" s="5" t="inlineStr">
        <is>
          <t>Re-prueba manual 2026-08-24 lista los 4 bolsillos; Gherkin "Consultar los bolsillos de la cuenta" aprobado</t>
        </is>
      </c>
      <c r="H3" s="5" t="inlineStr">
        <is>
          <t>-</t>
        </is>
      </c>
      <c r="I3" s="5" t="inlineStr">
        <is>
          <t>Cypress y Serenity aprobados</t>
        </is>
      </c>
    </row>
    <row r="4">
      <c r="A4" s="5" t="inlineStr">
        <is>
          <t>D-02 / SEC-03</t>
        </is>
      </c>
      <c r="B4" s="5" t="inlineStr">
        <is>
          <t>Crear bolsillo con monto booleano `true` lo crea con $1</t>
        </is>
      </c>
      <c r="C4" s="5" t="inlineStr">
        <is>
          <t>HU-23</t>
        </is>
      </c>
      <c r="D4" s="5" t="inlineStr">
        <is>
          <t>Alta</t>
        </is>
      </c>
      <c r="E4" s="5" t="inlineStr">
        <is>
          <t>RG-CR-D02, seguridad entrada</t>
        </is>
      </c>
      <c r="F4" s="5" t="inlineStr">
        <is>
          <t>Corregido</t>
        </is>
      </c>
      <c r="G4" s="5" t="inlineStr">
        <is>
          <t>R-06: strictAmount en createPocketSchema</t>
        </is>
      </c>
      <c r="H4" s="5" t="inlineStr">
        <is>
          <t>cabb874</t>
        </is>
      </c>
      <c r="I4" s="5" t="inlineStr">
        <is>
          <t>RG-CR-D02 normal</t>
        </is>
      </c>
    </row>
    <row r="5">
      <c r="A5" s="5" t="inlineStr">
        <is>
          <t>D-08 / SEC-04</t>
        </is>
      </c>
      <c r="B5" s="5" t="inlineStr">
        <is>
          <t>Depositar `true` deposita $1 (Number(amount))</t>
        </is>
      </c>
      <c r="C5" s="5" t="inlineStr">
        <is>
          <t>EXTRA</t>
        </is>
      </c>
      <c r="D5" s="5" t="inlineStr">
        <is>
          <t>Alta</t>
        </is>
      </c>
      <c r="E5" s="5" t="inlineStr">
        <is>
          <t>RG-DE-D08, @seguridad Depositar</t>
        </is>
      </c>
      <c r="F5" s="5" t="inlineStr">
        <is>
          <t>Corregido</t>
        </is>
      </c>
      <c r="G5" s="5" t="inlineStr">
        <is>
          <t>R-06: parseStrictAmount en AccountController.deposit</t>
        </is>
      </c>
      <c r="H5" s="5" t="inlineStr">
        <is>
          <t>cabb874</t>
        </is>
      </c>
      <c r="I5" s="5" t="inlineStr">
        <is>
          <t>Gherkin @seguridad y DE-04..06 Postman</t>
        </is>
      </c>
    </row>
    <row r="6">
      <c r="A6" s="5" t="inlineStr">
        <is>
          <t>SEC-01 / SEC-02</t>
        </is>
      </c>
      <c r="B6" s="5" t="inlineStr">
        <is>
          <t>Token temporal de 2FA y token de reset aceptados como acceso</t>
        </is>
      </c>
      <c r="C6" s="5" t="inlineStr">
        <is>
          <t>Transversal</t>
        </is>
      </c>
      <c r="D6" s="5" t="inlineStr">
        <is>
          <t>Crítica</t>
        </is>
      </c>
      <c r="E6" s="5" t="inlineStr">
        <is>
          <t>autenticacion.security.test.ts</t>
        </is>
      </c>
      <c r="F6" s="5" t="inlineStr">
        <is>
          <t>Corregido</t>
        </is>
      </c>
      <c r="G6" s="5" t="inlineStr">
        <is>
          <t>R-05: isAccessToken (lista blanca) en auth/adminMiddleware</t>
        </is>
      </c>
      <c r="H6" s="5" t="inlineStr">
        <is>
          <t>cabb874</t>
        </is>
      </c>
      <c r="I6" s="5" t="inlineStr">
        <is>
          <t>Suite de seguridad</t>
        </is>
      </c>
    </row>
    <row r="7">
      <c r="A7" s="5" t="inlineStr">
        <is>
          <t>E2E-01</t>
        </is>
      </c>
      <c r="B7" s="5" t="inlineStr">
        <is>
          <t>Sin "Recordarme" el token iba a sessionStorage y la API no lo enviaba</t>
        </is>
      </c>
      <c r="C7" s="5" t="inlineStr">
        <is>
          <t>Transversal</t>
        </is>
      </c>
      <c r="D7" s="5" t="inlineStr">
        <is>
          <t>Alta</t>
        </is>
      </c>
      <c r="E7" s="5" t="inlineStr">
        <is>
          <t>Serenity @web (login sin Recordarme)</t>
        </is>
      </c>
      <c r="F7" s="5" t="inlineStr">
        <is>
          <t>Corregido (equipo)</t>
        </is>
      </c>
      <c r="G7" s="5" t="inlineStr">
        <is>
          <t>R-09: getAuthToken en api.client.ts</t>
        </is>
      </c>
      <c r="H7" s="5" t="inlineStr">
        <is>
          <t>365171d</t>
        </is>
      </c>
      <c r="I7" s="5" t="inlineStr">
        <is>
          <t>Todas las suites @web</t>
        </is>
      </c>
    </row>
    <row r="8">
      <c r="A8" s="5" t="inlineStr">
        <is>
          <t>UI-01</t>
        </is>
      </c>
      <c r="B8" s="5" t="inlineStr">
        <is>
          <t>Hydration mismatch del tema borraba lo escrito en el login</t>
        </is>
      </c>
      <c r="C8" s="5" t="inlineStr">
        <is>
          <t>Transversal</t>
        </is>
      </c>
      <c r="D8" s="5" t="inlineStr">
        <is>
          <t>Media</t>
        </is>
      </c>
      <c r="E8" s="5" t="inlineStr">
        <is>
          <t>Katalon (login)</t>
        </is>
      </c>
      <c r="F8" s="5" t="inlineStr">
        <is>
          <t>Corregido</t>
        </is>
      </c>
      <c r="G8" s="5" t="inlineStr">
        <is>
          <t>R-08: ThemeProvider arranca como el SSR</t>
        </is>
      </c>
      <c r="H8" s="5" t="inlineStr">
        <is>
          <t>8ff70c1</t>
        </is>
      </c>
      <c r="I8" s="5" t="inlineStr">
        <is>
          <t>Katalon 52/52</t>
        </is>
      </c>
    </row>
    <row r="9">
      <c r="A9" s="5" t="inlineStr">
        <is>
          <t>A11Y-01</t>
        </is>
      </c>
      <c r="B9" s="5" t="inlineStr">
        <is>
          <t>Contraste insuficiente: diálogo Eliminar con fondo fijo oscuro y --muted-foreground 4,43:1</t>
        </is>
      </c>
      <c r="C9" s="5" t="inlineStr">
        <is>
          <t>HU-25 / HU-24</t>
        </is>
      </c>
      <c r="D9" s="5" t="inlineStr">
        <is>
          <t>Alta</t>
        </is>
      </c>
      <c r="E9" s="5" t="inlineStr">
        <is>
          <t>CY accesibilidad (axe color-contrast)</t>
        </is>
      </c>
      <c r="F9" s="5" t="inlineStr">
        <is>
          <t>Corregido</t>
        </is>
      </c>
      <c r="G9" s="5" t="inlineStr">
        <is>
          <t>R-10: bg-card y --muted-foreground #63636b</t>
        </is>
      </c>
      <c r="H9" s="5" t="inlineStr">
        <is>
          <t>esta entrega</t>
        </is>
      </c>
      <c r="I9" s="5" t="inlineStr">
        <is>
          <t>accesibilidad.feature 4/4</t>
        </is>
      </c>
    </row>
    <row r="10">
      <c r="A10" s="5" t="inlineStr">
        <is>
          <t>A11Y-02</t>
        </is>
      </c>
      <c r="B10" s="5" t="inlineStr">
        <is>
          <t>Botón cerrar del modal de abono sin nombre accesible</t>
        </is>
      </c>
      <c r="C10" s="5" t="inlineStr">
        <is>
          <t>EXTRA</t>
        </is>
      </c>
      <c r="D10" s="5" t="inlineStr">
        <is>
          <t>Crítica</t>
        </is>
      </c>
      <c r="E10" s="5" t="inlineStr">
        <is>
          <t>CY accesibilidad (axe button-name)</t>
        </is>
      </c>
      <c r="F10" s="5" t="inlineStr">
        <is>
          <t>Corregido</t>
        </is>
      </c>
      <c r="G10" s="5" t="inlineStr">
        <is>
          <t>R-10: aria-label="Cerrar"</t>
        </is>
      </c>
      <c r="H10" s="5" t="inlineStr">
        <is>
          <t>esta entrega</t>
        </is>
      </c>
      <c r="I10" s="5" t="inlineStr">
        <is>
          <t>accesibilidad.feature 4/4</t>
        </is>
      </c>
    </row>
    <row r="11">
      <c r="A11" s="5" t="inlineStr">
        <is>
          <t>A11Y-03</t>
        </is>
      </c>
      <c r="B11" s="5" t="inlineStr">
        <is>
          <t>Tarjeta de cuenta con aria-label que oculta el texto visible</t>
        </is>
      </c>
      <c r="C11" s="5" t="inlineStr">
        <is>
          <t>EXTRA</t>
        </is>
      </c>
      <c r="D11" s="5" t="inlineStr">
        <is>
          <t>Media</t>
        </is>
      </c>
      <c r="E11" s="5" t="inlineStr">
        <is>
          <t>CY accesibilidad (label-content-name-mismatch)</t>
        </is>
      </c>
      <c r="F11" s="5" t="inlineStr">
        <is>
          <t>Corregido</t>
        </is>
      </c>
      <c r="G11" s="5" t="inlineStr">
        <is>
          <t>R-10: nombre desde el contenido + sr-only</t>
        </is>
      </c>
      <c r="H11" s="5" t="inlineStr">
        <is>
          <t>esta entrega</t>
        </is>
      </c>
      <c r="I11" s="5" t="inlineStr">
        <is>
          <t>accesibilidad.feature 4/4</t>
        </is>
      </c>
    </row>
    <row r="12">
      <c r="A12" s="5" t="inlineStr">
        <is>
          <t>A11Y-04</t>
        </is>
      </c>
      <c r="B12" s="5" t="inlineStr">
        <is>
          <t>Pantalla /accounts con text-white fijo: invisible en tema claro (1,05:1)</t>
        </is>
      </c>
      <c r="C12" s="5" t="inlineStr">
        <is>
          <t>EXTRA</t>
        </is>
      </c>
      <c r="D12" s="5" t="inlineStr">
        <is>
          <t>Alta</t>
        </is>
      </c>
      <c r="E12" s="5" t="inlineStr">
        <is>
          <t>CY accesibilidad (pantalla de cuentas)</t>
        </is>
      </c>
      <c r="F12" s="5" t="inlineStr">
        <is>
          <t>Corregido</t>
        </is>
      </c>
      <c r="G12" s="5" t="inlineStr">
        <is>
          <t>R-10: tokens del tema</t>
        </is>
      </c>
      <c r="H12" s="5" t="inlineStr">
        <is>
          <t>esta entrega</t>
        </is>
      </c>
      <c r="I12" s="5" t="inlineStr">
        <is>
          <t>accesibilidad.feature 4/4</t>
        </is>
      </c>
    </row>
    <row r="13">
      <c r="A13" s="5" t="inlineStr">
        <is>
          <t>A11Y-05</t>
        </is>
      </c>
      <c r="B13" s="5" t="inlineStr">
        <is>
          <t>Botones Sí, eliminar y Abonar Saldo con contraste 3,8:1</t>
        </is>
      </c>
      <c r="C13" s="5" t="inlineStr">
        <is>
          <t>HU-25 / EXTRA</t>
        </is>
      </c>
      <c r="D13" s="5" t="inlineStr">
        <is>
          <t>Media</t>
        </is>
      </c>
      <c r="E13" s="5" t="inlineStr">
        <is>
          <t>CY accesibilidad (color-contrast)</t>
        </is>
      </c>
      <c r="F13" s="5" t="inlineStr">
        <is>
          <t>Corregido</t>
        </is>
      </c>
      <c r="G13" s="5" t="inlineStr">
        <is>
          <t>R-10: --destructive #dc2626, emerald-700</t>
        </is>
      </c>
      <c r="H13" s="5" t="inlineStr">
        <is>
          <t>esta entrega</t>
        </is>
      </c>
      <c r="I13" s="5" t="inlineStr">
        <is>
          <t>accesibilidad.feature 4/4</t>
        </is>
      </c>
    </row>
    <row r="14">
      <c r="A14" s="5" t="inlineStr">
        <is>
          <t>A11Y-06</t>
        </is>
      </c>
      <c r="B14" s="5" t="inlineStr">
        <is>
          <t>Button en estado de carga sin nombre accesible</t>
        </is>
      </c>
      <c r="C14" s="5" t="inlineStr">
        <is>
          <t>HU-23 / HU-26</t>
        </is>
      </c>
      <c r="D14" s="5" t="inlineStr">
        <is>
          <t>Crítica</t>
        </is>
      </c>
      <c r="E14" s="5" t="inlineStr">
        <is>
          <t>CY accesibilidad (button-name)</t>
        </is>
      </c>
      <c r="F14" s="5" t="inlineStr">
        <is>
          <t>Corregido</t>
        </is>
      </c>
      <c r="G14" s="5" t="inlineStr">
        <is>
          <t>R-10: children sr-only + spinner aria-hidden</t>
        </is>
      </c>
      <c r="H14" s="5" t="inlineStr">
        <is>
          <t>esta entrega</t>
        </is>
      </c>
      <c r="I14" s="5" t="inlineStr">
        <is>
          <t>accesibilidad.feature 4/4; 461 unitarias front</t>
        </is>
      </c>
    </row>
    <row r="15">
      <c r="A15" s="5" t="inlineStr">
        <is>
          <t>BUILD-01</t>
        </is>
      </c>
      <c r="B15" s="5" t="inlineStr">
        <is>
          <t>El backend no compila con tsc: ws sin @types/ws (rompe Docker y Jenkins)</t>
        </is>
      </c>
      <c r="C15" s="5" t="inlineStr">
        <is>
          <t>Transversal</t>
        </is>
      </c>
      <c r="D15" s="5" t="inlineStr">
        <is>
          <t>Alta</t>
        </is>
      </c>
      <c r="E15" s="5" t="inlineStr">
        <is>
          <t>Build de la imagen Docker (Keploy / despliegue)</t>
        </is>
      </c>
      <c r="F15" s="5" t="inlineStr">
        <is>
          <t>Corregido</t>
        </is>
      </c>
      <c r="G15" s="5" t="inlineStr">
        <is>
          <t>R-11: @types/ws en devDependencies</t>
        </is>
      </c>
      <c r="H15" s="5" t="inlineStr">
        <is>
          <t>esta entrega</t>
        </is>
      </c>
      <c r="I15" s="5" t="inlineStr">
        <is>
          <t>tsc sin errores; imagen construida</t>
        </is>
      </c>
    </row>
    <row r="16">
      <c r="A16" s="5" t="inlineStr">
        <is>
          <t>D-04</t>
        </is>
      </c>
      <c r="B16" s="5" t="inlineStr">
        <is>
          <t>amount como texto: se acepta al crear y se rechaza al actualizar</t>
        </is>
      </c>
      <c r="C16" s="5" t="inlineStr">
        <is>
          <t>HU-24</t>
        </is>
      </c>
      <c r="D16" s="5" t="inlineStr">
        <is>
          <t>Media</t>
        </is>
      </c>
      <c r="E16" s="5" t="inlineStr">
        <is>
          <t>RG-AC-D04</t>
        </is>
      </c>
      <c r="F16" s="5" t="inlineStr">
        <is>
          <t>Abierto</t>
        </is>
      </c>
      <c r="G16" s="5" t="inlineStr">
        <is>
          <t>Recomendado: strictAmount en updatePocketSchema</t>
        </is>
      </c>
      <c r="H16" s="5" t="inlineStr">
        <is>
          <t>-</t>
        </is>
      </c>
      <c r="I16" s="5" t="inlineStr">
        <is>
          <t>it.fails</t>
        </is>
      </c>
    </row>
    <row r="17">
      <c r="A17" s="5" t="inlineStr">
        <is>
          <t>D-05</t>
        </is>
      </c>
      <c r="B17" s="5" t="inlineStr">
        <is>
          <t>Al crear un bolsillo lo apartado se cuenta dos veces</t>
        </is>
      </c>
      <c r="C17" s="5" t="inlineStr">
        <is>
          <t>HU-23</t>
        </is>
      </c>
      <c r="D17" s="5" t="inlineStr">
        <is>
          <t>Media</t>
        </is>
      </c>
      <c r="E17" s="5" t="inlineStr">
        <is>
          <t>RG-CR-D05, CU-CR-09</t>
        </is>
      </c>
      <c r="F17" s="5" t="inlineStr">
        <is>
          <t>Abierto</t>
        </is>
      </c>
      <c r="G17" s="5" t="inlineStr">
        <is>
          <t>Recomendado: validar el disponible solo con account.balance</t>
        </is>
      </c>
      <c r="H17" s="5" t="inlineStr">
        <is>
          <t>-</t>
        </is>
      </c>
      <c r="I17" s="5" t="inlineStr">
        <is>
          <t>it.fails</t>
        </is>
      </c>
    </row>
    <row r="18">
      <c r="A18" s="5" t="inlineStr">
        <is>
          <t>D-07</t>
        </is>
      </c>
      <c r="B18" s="5" t="inlineStr">
        <is>
          <t>Tabla pockets ausente en Supabase: repositorio usa Map en memoria</t>
        </is>
      </c>
      <c r="C18" s="5" t="inlineStr">
        <is>
          <t>HU-23..26</t>
        </is>
      </c>
      <c r="D18" s="5" t="inlineStr">
        <is>
          <t>Alta</t>
        </is>
      </c>
      <c r="E18" s="5" t="inlineStr">
        <is>
          <t>Revisión de código / regresión</t>
        </is>
      </c>
      <c r="F18" s="5" t="inlineStr">
        <is>
          <t>Abierto</t>
        </is>
      </c>
      <c r="G18" s="5" t="inlineStr">
        <is>
          <t>Recomendado: migración de la tabla y quitar el fallback</t>
        </is>
      </c>
      <c r="H18" s="5" t="inlineStr">
        <is>
          <t>-</t>
        </is>
      </c>
      <c r="I18" s="5" t="inlineStr">
        <is>
          <t>-</t>
        </is>
      </c>
    </row>
    <row r="19">
      <c r="A19" s="5" t="inlineStr">
        <is>
          <t>SEC-05..08</t>
        </is>
      </c>
      <c r="B19" s="5" t="inlineStr">
        <is>
          <t>Sin tope de monto, JSON malformado y body &gt; 10 KB → 500, sin rate limiting</t>
        </is>
      </c>
      <c r="C19" s="5" t="inlineStr">
        <is>
          <t>Transversal</t>
        </is>
      </c>
      <c r="D19" s="5" t="inlineStr">
        <is>
          <t>Media</t>
        </is>
      </c>
      <c r="E19" s="5" t="inlineStr">
        <is>
          <t>endurecimiento.security.test.ts</t>
        </is>
      </c>
      <c r="F19" s="5" t="inlineStr">
        <is>
          <t>Abierto</t>
        </is>
      </c>
      <c r="G19" s="5" t="inlineStr">
        <is>
          <t>Recomendado: límites y express-rate-limit</t>
        </is>
      </c>
      <c r="H19" s="5" t="inlineStr">
        <is>
          <t>-</t>
        </is>
      </c>
      <c r="I19" s="5" t="inlineStr">
        <is>
          <t>it.fails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2026-10-27T02:51:39Z</dcterms:created>
  <dcterms:modified xmlns:dcterms="http://purl.org/dc/terms/" xmlns:xsi="http://www.w3.org/2001/XMLSchema-instance" xsi:type="dcterms:W3CDTF">2026-10-27T02:51:39Z</dcterms:modified>
</cp:coreProperties>
</file>